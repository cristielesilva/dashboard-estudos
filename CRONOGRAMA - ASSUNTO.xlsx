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160" tabRatio="600" firstSheet="0" activeTab="2" autoFilterDateGrouping="1"/>
  </bookViews>
  <sheets>
    <sheet name="Dashboard_Estratégico" sheetId="1" state="visible" r:id="rId1"/>
    <sheet name="Português_e_Redação" sheetId="2" state="visible" r:id="rId2"/>
    <sheet name="Raciocínio_e_Estatística" sheetId="3" state="visible" r:id="rId3"/>
    <sheet name="Informática_e_Arquivologia" sheetId="4" state="visible" r:id="rId4"/>
    <sheet name="Direito_Constitucional_e_DH" sheetId="5" state="visible" r:id="rId5"/>
    <sheet name="Direito_Administrativo" sheetId="6" state="visible" r:id="rId6"/>
    <sheet name="Direito_Penal_e_Processual" sheetId="7" state="visible" r:id="rId7"/>
    <sheet name="Legislação_e_História_PE" sheetId="8" state="visible" r:id="rId8"/>
    <sheet name="Matérias_Específicas_Outras" sheetId="9" state="visible" r:id="rId9"/>
    <sheet name="Config_App" sheetId="10" state="visible" r:id="rId10"/>
    <sheet name="Registro_Estudos" sheetId="11" state="visible" r:id="rId11"/>
    <sheet name="Plano_Diario" sheetId="12" state="visible" r:id="rId12"/>
  </sheets>
  <definedNames/>
  <calcPr calcId="191029" fullCalcOnLoad="1"/>
</workbook>
</file>

<file path=xl/styles.xml><?xml version="1.0" encoding="utf-8"?>
<styleSheet xmlns="http://schemas.openxmlformats.org/spreadsheetml/2006/main">
  <numFmts count="3">
    <numFmt numFmtId="164" formatCode="0.0%"/>
    <numFmt numFmtId="165" formatCode="DD/MM/YYYY"/>
    <numFmt numFmtId="166" formatCode="yyyy-mm-dd"/>
  </numFmts>
  <fonts count="6">
    <font>
      <name val="Calibri"/>
      <family val="2"/>
      <color theme="1"/>
      <sz val="11"/>
      <scheme val="minor"/>
    </font>
    <font>
      <name val="Calibri"/>
      <b val="1"/>
      <color rgb="FFFFFFFF"/>
      <sz val="16"/>
    </font>
    <font>
      <name val="Calibri"/>
      <b val="1"/>
      <color rgb="FFFFFFFF"/>
      <sz val="11"/>
    </font>
    <font>
      <name val="Calibri"/>
      <b val="1"/>
      <color rgb="FF1F4E78"/>
      <sz val="11"/>
    </font>
    <font>
      <name val="Calibri"/>
      <color rgb="FF333333"/>
      <sz val="11"/>
    </font>
    <font>
      <name val="Calibri"/>
      <b val="1"/>
      <color rgb="FFFFFFFF"/>
      <sz val="14"/>
    </font>
  </fonts>
  <fills count="10">
    <fill>
      <patternFill/>
    </fill>
    <fill>
      <patternFill patternType="gray125"/>
    </fill>
    <fill>
      <patternFill patternType="solid">
        <fgColor rgb="FF1F4E78"/>
        <bgColor rgb="FF1F4E78"/>
      </patternFill>
    </fill>
    <fill>
      <patternFill patternType="solid">
        <fgColor rgb="FF2F5496"/>
        <bgColor rgb="FF2F5496"/>
      </patternFill>
    </fill>
    <fill>
      <patternFill patternType="solid">
        <fgColor rgb="FFE2EFDA"/>
        <bgColor rgb="FFE2EFDA"/>
      </patternFill>
    </fill>
    <fill>
      <patternFill patternType="solid">
        <fgColor rgb="FFFFFFFF"/>
        <bgColor rgb="FFFFFFFF"/>
      </patternFill>
    </fill>
    <fill>
      <patternFill patternType="solid">
        <fgColor rgb="FFFFF2CC"/>
        <bgColor rgb="FFFFF2CC"/>
      </patternFill>
    </fill>
    <fill>
      <patternFill patternType="solid">
        <fgColor rgb="FFF9FAFB"/>
        <bgColor rgb="FFF9FAFB"/>
      </patternFill>
    </fill>
    <fill>
      <patternFill patternType="solid">
        <fgColor rgb="FFFFFF00"/>
        <bgColor rgb="FFFFFFFF"/>
      </patternFill>
    </fill>
    <fill>
      <patternFill patternType="solid">
        <fgColor rgb="FFFFFF00"/>
        <bgColor rgb="FFF9FAFB"/>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24">
    <xf numFmtId="0" fontId="0" fillId="0" borderId="0" pivotButton="0" quotePrefix="0" xfId="0"/>
    <xf numFmtId="0" fontId="2" fillId="3" borderId="1" applyAlignment="1" pivotButton="0" quotePrefix="0" xfId="0">
      <alignment horizontal="center" vertical="center"/>
    </xf>
    <xf numFmtId="0" fontId="0" fillId="0" borderId="1" applyAlignment="1" pivotButton="0" quotePrefix="0" xfId="0">
      <alignment horizontal="left" vertical="center" wrapText="1"/>
    </xf>
    <xf numFmtId="0" fontId="0" fillId="0" borderId="1" applyAlignment="1" pivotButton="0" quotePrefix="0" xfId="0">
      <alignment horizontal="center" vertical="center"/>
    </xf>
    <xf numFmtId="0" fontId="0" fillId="4" borderId="1" applyAlignment="1" pivotButton="0" quotePrefix="0" xfId="0">
      <alignment horizontal="left" vertical="center" wrapText="1"/>
    </xf>
    <xf numFmtId="0" fontId="3" fillId="0" borderId="0" pivotButton="0" quotePrefix="0" xfId="0"/>
    <xf numFmtId="0" fontId="0" fillId="5" borderId="1" applyAlignment="1" pivotButton="0" quotePrefix="0" xfId="0">
      <alignment horizontal="center" vertical="center"/>
    </xf>
    <xf numFmtId="0" fontId="0" fillId="5"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horizontal="right" vertical="center"/>
    </xf>
    <xf numFmtId="164" fontId="0" fillId="6" borderId="1" applyAlignment="1" pivotButton="0" quotePrefix="0" xfId="0">
      <alignment horizontal="right" vertical="center"/>
    </xf>
    <xf numFmtId="0" fontId="0" fillId="7" borderId="1" applyAlignment="1" pivotButton="0" quotePrefix="0" xfId="0">
      <alignment horizontal="center" vertical="center"/>
    </xf>
    <xf numFmtId="0" fontId="0" fillId="7" borderId="1" applyAlignment="1" pivotButton="0" quotePrefix="0" xfId="0">
      <alignment horizontal="left" vertical="center" wrapText="1"/>
    </xf>
    <xf numFmtId="0" fontId="0" fillId="8" borderId="1" applyAlignment="1" pivotButton="0" quotePrefix="0" xfId="0">
      <alignment horizontal="left" vertical="center" wrapText="1"/>
    </xf>
    <xf numFmtId="0" fontId="0" fillId="9" borderId="1" applyAlignment="1" pivotButton="0" quotePrefix="0" xfId="0">
      <alignment horizontal="left" vertical="center" wrapText="1"/>
    </xf>
    <xf numFmtId="0" fontId="1" fillId="2" borderId="0" applyAlignment="1" pivotButton="0" quotePrefix="0" xfId="0">
      <alignment horizontal="center" vertical="center"/>
    </xf>
    <xf numFmtId="0" fontId="0" fillId="0" borderId="0" pivotButton="0" quotePrefix="0" xfId="0"/>
    <xf numFmtId="0" fontId="2" fillId="3" borderId="0" pivotButton="0" quotePrefix="0" xfId="0"/>
    <xf numFmtId="0" fontId="4" fillId="0" borderId="0" pivotButton="0" quotePrefix="0" xfId="0"/>
    <xf numFmtId="0" fontId="5" fillId="2" borderId="0" applyAlignment="1" pivotButton="0" quotePrefix="0" xfId="0">
      <alignment horizontal="center" vertical="center"/>
    </xf>
    <xf numFmtId="164" fontId="0" fillId="4" borderId="1" applyAlignment="1" pivotButton="0" quotePrefix="0" xfId="0">
      <alignment horizontal="left" vertical="center" wrapText="1"/>
    </xf>
    <xf numFmtId="165" fontId="0" fillId="0" borderId="0" pivotButton="0" quotePrefix="0" xfId="0"/>
    <xf numFmtId="165" fontId="0" fillId="0" borderId="0" pivotButton="0" quotePrefix="0" xfId="0"/>
    <xf numFmtId="165" fontId="0" fillId="6" borderId="1" applyAlignment="1" pivotButton="0" quotePrefix="0" xfId="0">
      <alignment horizontal="center" vertical="center"/>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7"/>
  <sheetViews>
    <sheetView workbookViewId="0">
      <selection activeCell="A9" sqref="A9"/>
    </sheetView>
  </sheetViews>
  <sheetFormatPr baseColWidth="8" defaultRowHeight="15"/>
  <cols>
    <col width="28" customWidth="1" style="16" min="1" max="1"/>
    <col width="18" customWidth="1" style="16" min="2" max="2"/>
    <col width="28" customWidth="1" style="16" min="3" max="3"/>
    <col width="15" customWidth="1" style="16" min="4" max="4"/>
    <col width="12" customWidth="1" style="16" min="5" max="5"/>
    <col width="10" customWidth="1" style="16" min="6" max="6"/>
    <col width="55" customWidth="1" style="16" min="7" max="7"/>
    <col width="14" customWidth="1" style="16" min="8" max="8"/>
  </cols>
  <sheetData>
    <row r="1" ht="39.95" customHeight="1" s="16">
      <c r="A1" s="15" t="inlineStr">
        <is>
          <t>CRONOGRAMA VERTICALIZADO UNIFICADO PE - PMPE &amp; PCPE 2026/2027</t>
        </is>
      </c>
    </row>
    <row r="2"/>
    <row r="3">
      <c r="A3" s="17" t="inlineStr">
        <is>
          <t>CARGOS ABRANGIDOS &amp; CALENDÁRIO DAS PROVAS</t>
        </is>
      </c>
    </row>
    <row r="4">
      <c r="A4" s="1" t="inlineStr">
        <is>
          <t>Cargo / Certame</t>
        </is>
      </c>
      <c r="B4" s="1" t="inlineStr">
        <is>
          <t>Banca</t>
        </is>
      </c>
      <c r="C4" s="1" t="inlineStr">
        <is>
          <t>Escolaridade</t>
        </is>
      </c>
      <c r="D4" s="1" t="inlineStr">
        <is>
          <t>Data da Prova</t>
        </is>
      </c>
      <c r="E4" s="1" t="inlineStr">
        <is>
          <t>Turno</t>
        </is>
      </c>
      <c r="F4" s="1" t="inlineStr">
        <is>
          <t>Vagas</t>
        </is>
      </c>
      <c r="G4" s="1" t="inlineStr">
        <is>
          <t>Tópicos Cadastrados</t>
        </is>
      </c>
      <c r="H4" s="1" t="inlineStr">
        <is>
          <t>% Concluído</t>
        </is>
      </c>
    </row>
    <row r="5">
      <c r="A5" s="2" t="inlineStr">
        <is>
          <t>PMPE - Soldado</t>
        </is>
      </c>
      <c r="B5" s="3" t="inlineStr">
        <is>
          <t>Instituto AOCP</t>
        </is>
      </c>
      <c r="C5" s="3" t="inlineStr">
        <is>
          <t>Ensino Médio</t>
        </is>
      </c>
      <c r="D5" s="3" t="inlineStr">
        <is>
          <t>21/02/2027</t>
        </is>
      </c>
      <c r="E5" s="3" t="inlineStr">
        <is>
          <t>Manhã</t>
        </is>
      </c>
      <c r="F5" s="3" t="inlineStr">
        <is>
          <t>1.250</t>
        </is>
      </c>
      <c r="G5" s="2">
        <f>COUNTA(Português_e_Redação!A6:A25)+COUNTA(Raciocínio_e_Estatística!A6:A15)+COUNTA(Informática_e_Arquivologia!A6:A13)+COUNTA(Direito_Constitucional_e_DH!A6:A17)+COUNTA(Legislação_e_História_PE!A6:A21)</f>
        <v/>
      </c>
      <c r="H5" s="20" t="n">
        <v>0.01492537313432836</v>
      </c>
    </row>
    <row r="6">
      <c r="A6" s="2" t="inlineStr">
        <is>
          <t>PMPE - Oficial (2º Tenente)</t>
        </is>
      </c>
      <c r="B6" s="3" t="inlineStr">
        <is>
          <t>Instituto AOCP</t>
        </is>
      </c>
      <c r="C6" s="3" t="inlineStr">
        <is>
          <t>Superior em Direito</t>
        </is>
      </c>
      <c r="D6" s="3" t="inlineStr">
        <is>
          <t>21/02/2027</t>
        </is>
      </c>
      <c r="E6" s="3" t="inlineStr">
        <is>
          <t>Tarde</t>
        </is>
      </c>
      <c r="F6" s="3" t="inlineStr">
        <is>
          <t>40</t>
        </is>
      </c>
      <c r="G6" s="2">
        <f>COUNTA(Português_e_Redação!A6:A25)+COUNTA(Raciocínio_e_Estatística!A6:A25)+COUNTA(Informática_e_Arquivologia!A6:A13)+COUNTA(Direito_Constitucional_e_DH!A6:A20)+COUNTA(Direito_Administrativo!A6:A20)+COUNTA(Direito_Penal_e_Processual!A6:A25)+COUNTA(Matérias_Específicas_Outras!A6:A15)</f>
        <v/>
      </c>
      <c r="H6" s="20" t="n">
        <v>0.009523809523809525</v>
      </c>
    </row>
    <row r="7">
      <c r="A7" s="2" t="inlineStr">
        <is>
          <t>PCPE - Agente de Polícia</t>
        </is>
      </c>
      <c r="B7" s="3" t="inlineStr">
        <is>
          <t>Cebraspe</t>
        </is>
      </c>
      <c r="C7" s="3" t="inlineStr">
        <is>
          <t>Superior em qualquer área + CNH B</t>
        </is>
      </c>
      <c r="D7" s="3" t="inlineStr">
        <is>
          <t>07/03/2027</t>
        </is>
      </c>
      <c r="E7" s="3" t="inlineStr">
        <is>
          <t>Tarde</t>
        </is>
      </c>
      <c r="F7" s="3" t="inlineStr">
        <is>
          <t>1.200</t>
        </is>
      </c>
      <c r="G7" s="2">
        <f>COUNTA(Português_e_Redação!A6:A25)+COUNTA(Raciocínio_e_Estatística!A6:A28)+COUNTA(Informática_e_Arquivologia!A6:A13)+COUNTA(Direito_Constitucional_e_DH!A6:A18)+COUNTA(Direito_Administrativo!A6:A20)+COUNTA(Direito_Penal_e_Processual!A6:A25)+COUNTA(Legislação_e_História_PE!A12:A25)</f>
        <v/>
      </c>
      <c r="H7" s="20" t="n">
        <v>0.009615384615384616</v>
      </c>
    </row>
    <row r="8">
      <c r="A8" s="2" t="inlineStr">
        <is>
          <t>PCPE - Escrivão de Polícia</t>
        </is>
      </c>
      <c r="B8" s="3" t="inlineStr">
        <is>
          <t>Cebraspe</t>
        </is>
      </c>
      <c r="C8" s="3" t="inlineStr">
        <is>
          <t>Superior em qualquer área + CNH B</t>
        </is>
      </c>
      <c r="D8" s="3" t="inlineStr">
        <is>
          <t>07/03/2027</t>
        </is>
      </c>
      <c r="E8" s="3" t="inlineStr">
        <is>
          <t>Manhã</t>
        </is>
      </c>
      <c r="F8" s="3" t="inlineStr">
        <is>
          <t>70</t>
        </is>
      </c>
      <c r="G8" s="2">
        <f>COUNTA(Português_e_Redação!A6:A25)+COUNTA(Raciocínio_e_Estatística!A6:A28)+COUNTA(Informática_e_Arquivologia!A6:A25)+COUNTA(Direito_Constitucional_e_DH!A6:A18)+COUNTA(Direito_Administrativo!A6:A20)+COUNTA(Direito_Penal_e_Processual!A6:A25)+COUNTA(Legislação_e_História_PE!A12:A25)</f>
        <v/>
      </c>
      <c r="H8" s="20" t="n">
        <v>0.009174311926605505</v>
      </c>
    </row>
    <row r="9"/>
    <row r="10"/>
    <row r="11">
      <c r="A11" s="17" t="inlineStr">
        <is>
          <t>INSTRUÇÕES DE USO DO CRONOGRAMA POR DISCIPLINAS</t>
        </is>
      </c>
    </row>
    <row r="12">
      <c r="A12" s="5" t="inlineStr">
        <is>
          <t>1. NAVEGAÇÃO POR ABAS:</t>
        </is>
      </c>
      <c r="B12" s="18" t="inlineStr">
        <is>
          <t>Cada aba representa uma grande Área do Conhecimento contendo todos os tópicos verticalizados dos editais.</t>
        </is>
      </c>
    </row>
    <row r="13">
      <c r="A13" s="5" t="inlineStr">
        <is>
          <t>2. CARGOS COBRADOS:</t>
        </is>
      </c>
      <c r="B13" s="18" t="inlineStr">
        <is>
          <t>A coluna 'Cargos Aplicáveis' indica em quais concursos aquele tópico específico é exigido.</t>
        </is>
      </c>
    </row>
    <row r="14">
      <c r="A14" s="5" t="inlineStr">
        <is>
          <t>3. FASE DE TRANSIÇÃO:</t>
        </is>
      </c>
      <c r="B14" s="18" t="inlineStr">
        <is>
          <t>Identifique se o tópico deve ser estudado na 'Fase 1 (Até 21/02 - PMPE)' ou na 'Fase 2 (22/02 a 06/03 - PCPE)'.</t>
        </is>
      </c>
    </row>
    <row r="15">
      <c r="A15" s="5" t="inlineStr">
        <is>
          <t>4. CONTROLE DE REVISÕES:</t>
        </is>
      </c>
      <c r="B15" s="18" t="inlineStr">
        <is>
          <t>Marque 'Feito' nas colunas R1 (24h), R2 (7d), R3 (15d) e R4 (30d) à medida que realizar suas revisões de fixação.</t>
        </is>
      </c>
    </row>
    <row r="16">
      <c r="A16" s="5" t="inlineStr">
        <is>
          <t>5. QUESTÕES &amp; RENDIMENTO:</t>
        </is>
      </c>
      <c r="B16" s="18" t="inlineStr">
        <is>
          <t>Insira a quantidade de questões resolvidas e acertos para que o % de rendimento seja calculado automaticamente.</t>
        </is>
      </c>
    </row>
    <row r="17">
      <c r="A17" s="5" t="inlineStr">
        <is>
          <t>6. STATUS:</t>
        </is>
      </c>
      <c r="B17" s="18" t="inlineStr">
        <is>
          <t>Atualize a coluna Status ('Não Iniciado', 'Em Andamento', 'Concluído', 'Revisado') para acompanhar seu progresso.</t>
        </is>
      </c>
    </row>
  </sheetData>
  <mergeCells count="9">
    <mergeCell ref="B14:H14"/>
    <mergeCell ref="A3:H3"/>
    <mergeCell ref="B17:H17"/>
    <mergeCell ref="B13:H13"/>
    <mergeCell ref="B12:H12"/>
    <mergeCell ref="B16:H16"/>
    <mergeCell ref="A11:H11"/>
    <mergeCell ref="B15:H1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26"/>
  <sheetViews>
    <sheetView workbookViewId="0">
      <selection activeCell="C26" sqref="C26"/>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LÍNGUA PORTUGUESA, REDAÇÃO E CORRESPONDÊNCIA OFICIAL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1.5" customHeight="1" s="16">
      <c r="A5" s="6" t="inlineStr">
        <is>
          <t>PORT-01</t>
        </is>
      </c>
      <c r="B5" s="6" t="inlineStr">
        <is>
          <t>Todos os Cargos</t>
        </is>
      </c>
      <c r="C5" s="13" t="inlineStr">
        <is>
          <t>Compreensão e interpretação de textos de gêneros variados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PORT-02</t>
        </is>
      </c>
      <c r="B6" s="11" t="inlineStr">
        <is>
          <t>Todos os Cargos</t>
        </is>
      </c>
      <c r="C6" s="12" t="inlineStr">
        <is>
          <t>Reconhecimento de tipos e gêneros textuais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PORT-03</t>
        </is>
      </c>
      <c r="B7" s="6" t="inlineStr">
        <is>
          <t>Todos os Cargos</t>
        </is>
      </c>
      <c r="C7" s="7" t="inlineStr">
        <is>
          <t>Figuras de linguagem e recursos estilísticos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7.5" customHeight="1" s="16">
      <c r="A8" s="11" t="inlineStr">
        <is>
          <t>PORT-04</t>
        </is>
      </c>
      <c r="B8" s="11" t="inlineStr">
        <is>
          <t>Todos os Cargos</t>
        </is>
      </c>
      <c r="C8" s="12" t="inlineStr">
        <is>
          <t>Relações semânticas entre orações, períodos e parágrafos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PORT-05</t>
        </is>
      </c>
      <c r="B9" s="6" t="inlineStr">
        <is>
          <t>Todos os Cargos</t>
        </is>
      </c>
      <c r="C9" s="7" t="inlineStr">
        <is>
          <t>Ortografia oficial e Novo Acordo Ortográfico</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PORT-06</t>
        </is>
      </c>
      <c r="B10" s="11" t="inlineStr">
        <is>
          <t>Todos os Cargos</t>
        </is>
      </c>
      <c r="C10" s="14" t="inlineStr">
        <is>
          <t>Acentuação gráfica</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PORT-07</t>
        </is>
      </c>
      <c r="B11" s="6" t="inlineStr">
        <is>
          <t>Todos os Cargos</t>
        </is>
      </c>
      <c r="C11" s="7" t="inlineStr">
        <is>
          <t>Emprego e flexão das classes de palavras (substantivo, adjetivo, pronome, verbo, etc.)</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PORT-08</t>
        </is>
      </c>
      <c r="B12" s="11" t="inlineStr">
        <is>
          <t>Todos os Cargos</t>
        </is>
      </c>
      <c r="C12" s="12" t="inlineStr">
        <is>
          <t>Emprego do sinal indicativo de crase</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75" customHeight="1" s="16">
      <c r="A13" s="6" t="inlineStr">
        <is>
          <t>PORT-09</t>
        </is>
      </c>
      <c r="B13" s="6" t="inlineStr">
        <is>
          <t>Todos os Cargos</t>
        </is>
      </c>
      <c r="C13" s="13" t="inlineStr">
        <is>
          <t>Sintaxe da oração: termos essenciais, integrantes e acessórios</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PORT-10</t>
        </is>
      </c>
      <c r="B14" s="11" t="inlineStr">
        <is>
          <t>Todos os Cargos</t>
        </is>
      </c>
      <c r="C14" s="14" t="inlineStr">
        <is>
          <t>Sintaxe do período: coordenação e subordinação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PORT-11</t>
        </is>
      </c>
      <c r="B15" s="6" t="inlineStr">
        <is>
          <t>Todos os Cargos</t>
        </is>
      </c>
      <c r="C15" s="7" t="inlineStr">
        <is>
          <t>Funções sintáticas e semânticas do 'que' e do 'se'</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6.75" customHeight="1" s="16">
      <c r="A16" s="11" t="inlineStr">
        <is>
          <t>PORT-12</t>
        </is>
      </c>
      <c r="B16" s="11" t="inlineStr">
        <is>
          <t>Todos os Cargos</t>
        </is>
      </c>
      <c r="C16" s="14" t="inlineStr">
        <is>
          <t>Mecanismos de coesão e coerência textual</t>
        </is>
      </c>
      <c r="D16" s="11" t="inlineStr">
        <is>
          <t>Fase 1 - Tronco Comum</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PORT-13</t>
        </is>
      </c>
      <c r="B17" s="6" t="inlineStr">
        <is>
          <t>Todos os Cargos</t>
        </is>
      </c>
      <c r="C17" s="13" t="inlineStr">
        <is>
          <t>Emprego dos sinais de pontuação e suas funções no texto</t>
        </is>
      </c>
      <c r="D17" s="6" t="inlineStr">
        <is>
          <t>Fase 1 - Tronco Comum</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PORT-14</t>
        </is>
      </c>
      <c r="B18" s="11" t="inlineStr">
        <is>
          <t>Todos os Cargos</t>
        </is>
      </c>
      <c r="C18" s="14" t="inlineStr">
        <is>
          <t>Concordância nominal e verbal</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PORT-15</t>
        </is>
      </c>
      <c r="B19" s="6" t="inlineStr">
        <is>
          <t>Todos os Cargos</t>
        </is>
      </c>
      <c r="C19" s="7" t="inlineStr">
        <is>
          <t>Regência nominal e verbal</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PORT-16</t>
        </is>
      </c>
      <c r="B20" s="11" t="inlineStr">
        <is>
          <t>Todos os Cargos</t>
        </is>
      </c>
      <c r="C20" s="12" t="inlineStr">
        <is>
          <t>Colocação pronominal (próclise, mesóclise, ênclise)</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36" customHeight="1" s="16">
      <c r="A21" s="6" t="inlineStr">
        <is>
          <t>PORT-17</t>
        </is>
      </c>
      <c r="B21" s="6" t="inlineStr">
        <is>
          <t>Todos os Cargos</t>
        </is>
      </c>
      <c r="C21" s="7" t="inlineStr">
        <is>
          <t>Processos de formação de palavras e significação vocabular</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PORT-18</t>
        </is>
      </c>
      <c r="B22" s="11" t="inlineStr">
        <is>
          <t>Todos os Cargos</t>
        </is>
      </c>
      <c r="C22" s="12" t="inlineStr">
        <is>
          <t>Variação linguística e níveis de formalidade</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3.5" customHeight="1" s="16">
      <c r="A23" s="6" t="inlineStr">
        <is>
          <t>PORT-19</t>
        </is>
      </c>
      <c r="B23" s="6" t="inlineStr">
        <is>
          <t>PCPE (Agente/Escrivão/Del)</t>
        </is>
      </c>
      <c r="C23" s="7" t="inlineStr">
        <is>
          <t>Reescrita de frases e parágrafos (substituição e reorganização)</t>
        </is>
      </c>
      <c r="D23" s="6" t="inlineStr">
        <is>
          <t>Fase 2 - Cebraspe</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row r="24" ht="30.75" customHeight="1" s="16">
      <c r="A24" s="11" t="inlineStr">
        <is>
          <t>PORT-20</t>
        </is>
      </c>
      <c r="B24" s="11" t="inlineStr">
        <is>
          <t>PCPE (Agente/Escrivão)</t>
        </is>
      </c>
      <c r="C24" s="12" t="inlineStr">
        <is>
          <t>Correspondência oficial (Manual de Redação da Presidência da República)</t>
        </is>
      </c>
      <c r="D24" s="11" t="inlineStr">
        <is>
          <t>Fase 2 - Cebraspe</t>
        </is>
      </c>
      <c r="E24" s="8" t="n"/>
      <c r="F24" s="8" t="n"/>
      <c r="G24" s="8" t="inlineStr">
        <is>
          <t>Pendente</t>
        </is>
      </c>
      <c r="H24" s="8" t="inlineStr">
        <is>
          <t>Pendente</t>
        </is>
      </c>
      <c r="I24" s="8" t="inlineStr">
        <is>
          <t>Pendente</t>
        </is>
      </c>
      <c r="J24" s="8" t="inlineStr">
        <is>
          <t>Pendente</t>
        </is>
      </c>
      <c r="K24" s="9" t="n">
        <v>0</v>
      </c>
      <c r="L24" s="10" t="n">
        <v>0</v>
      </c>
      <c r="M24" s="8" t="inlineStr">
        <is>
          <t>Não Iniciado</t>
        </is>
      </c>
      <c r="N24" s="12" t="n"/>
    </row>
    <row r="25" ht="39.75" customHeight="1" s="16">
      <c r="A25" s="6" t="inlineStr">
        <is>
          <t>RED-01</t>
        </is>
      </c>
      <c r="B25" s="6" t="inlineStr">
        <is>
          <t>PMPE (Soldado/Oficial)</t>
        </is>
      </c>
      <c r="C25" s="13" t="inlineStr">
        <is>
          <t>Redação Dissertativa-Argumentativa (Estrutura, Coesão e Argumentação)</t>
        </is>
      </c>
      <c r="D25" s="6" t="inlineStr">
        <is>
          <t>Fase 1 - Instituto AOCP</t>
        </is>
      </c>
      <c r="E25" s="8" t="n"/>
      <c r="F25" s="8" t="n"/>
      <c r="G25" s="8" t="inlineStr">
        <is>
          <t>Pendente</t>
        </is>
      </c>
      <c r="H25" s="8" t="inlineStr">
        <is>
          <t>Pendente</t>
        </is>
      </c>
      <c r="I25" s="8" t="inlineStr">
        <is>
          <t>Pendente</t>
        </is>
      </c>
      <c r="J25" s="8" t="inlineStr">
        <is>
          <t>Pendente</t>
        </is>
      </c>
      <c r="K25" s="9" t="n">
        <v>0</v>
      </c>
      <c r="L25" s="10" t="n">
        <v>0</v>
      </c>
      <c r="M25" s="8" t="inlineStr">
        <is>
          <t>Não Iniciado</t>
        </is>
      </c>
      <c r="N25" s="7" t="n"/>
    </row>
    <row r="26" ht="21.95" customHeight="1" s="16">
      <c r="A26" s="11" t="inlineStr">
        <is>
          <t>RED-02</t>
        </is>
      </c>
      <c r="B26" s="11" t="inlineStr">
        <is>
          <t>PCPE (Agente/Escrivão)</t>
        </is>
      </c>
      <c r="C26" s="14" t="inlineStr">
        <is>
          <t>Redação Discursiva sobre Segurança Pública (Até 30 linhas)</t>
        </is>
      </c>
      <c r="D26" s="11" t="inlineStr">
        <is>
          <t>Fase 2 - Cebraspe</t>
        </is>
      </c>
      <c r="E26" s="8" t="n"/>
      <c r="F26" s="8" t="n"/>
      <c r="G26" s="8" t="inlineStr">
        <is>
          <t>Pendente</t>
        </is>
      </c>
      <c r="H26" s="8" t="inlineStr">
        <is>
          <t>Pendente</t>
        </is>
      </c>
      <c r="I26" s="8" t="inlineStr">
        <is>
          <t>Pendente</t>
        </is>
      </c>
      <c r="J26" s="8" t="inlineStr">
        <is>
          <t>Pendente</t>
        </is>
      </c>
      <c r="K26" s="9" t="n">
        <v>0</v>
      </c>
      <c r="L26" s="10" t="n">
        <v>0</v>
      </c>
      <c r="M26" s="8" t="inlineStr">
        <is>
          <t>Não Iniciado</t>
        </is>
      </c>
      <c r="N2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0"/>
  <sheetViews>
    <sheetView tabSelected="1" topLeftCell="A11" workbookViewId="0">
      <selection activeCell="A13" sqref="A13:XFD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RACIOCÍNIO LÓGICO &amp; ESTATÍSTICA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RLM-01</t>
        </is>
      </c>
      <c r="B5" s="6" t="inlineStr">
        <is>
          <t>Todos os Cargos</t>
        </is>
      </c>
      <c r="C5" s="13" t="inlineStr">
        <is>
          <t>Compreensão de estruturas lógicas: proposições simples/compostas e conectivos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RLM-02</t>
        </is>
      </c>
      <c r="B6" s="11" t="inlineStr">
        <is>
          <t>Todos os Cargos</t>
        </is>
      </c>
      <c r="C6" s="12" t="inlineStr">
        <is>
          <t>Tabelas-verdade, tautologias, contradições e contingências</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2" customHeight="1" s="16">
      <c r="A7" s="6" t="inlineStr">
        <is>
          <t>RLM-03</t>
        </is>
      </c>
      <c r="B7" s="6" t="inlineStr">
        <is>
          <t>Todos os Cargos</t>
        </is>
      </c>
      <c r="C7" s="13" t="inlineStr">
        <is>
          <t>Lógica de argumentação: analogias, inferências, deduções e conclusões</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RLM-04</t>
        </is>
      </c>
      <c r="B8" s="11" t="inlineStr">
        <is>
          <t>Todos os Cargos</t>
        </is>
      </c>
      <c r="C8" s="14" t="inlineStr">
        <is>
          <t>Equivalências lógicas e Leis de De Morgan</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5.25" customHeight="1" s="16">
      <c r="A9" s="6" t="inlineStr">
        <is>
          <t>RLM-05</t>
        </is>
      </c>
      <c r="B9" s="6" t="inlineStr">
        <is>
          <t>Todos os Cargos</t>
        </is>
      </c>
      <c r="C9" s="13" t="inlineStr">
        <is>
          <t>Diagramas lógicos, quantificadores universais e existenciais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42.75" customHeight="1" s="16">
      <c r="A10" s="11" t="inlineStr">
        <is>
          <t>RLM-06</t>
        </is>
      </c>
      <c r="B10" s="11" t="inlineStr">
        <is>
          <t>Todos os Cargos</t>
        </is>
      </c>
      <c r="C10" s="12" t="inlineStr">
        <is>
          <t>Princípios de contagem, arranjos, permutações e combinações</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9" customHeight="1" s="16">
      <c r="A11" s="6" t="inlineStr">
        <is>
          <t>RLM-07</t>
        </is>
      </c>
      <c r="B11" s="6" t="inlineStr">
        <is>
          <t>Todos os Cargos</t>
        </is>
      </c>
      <c r="C11" s="7" t="inlineStr">
        <is>
          <t>Probabilidade: definições, probabilidade condicional e eventos independentes</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42.75" customHeight="1" s="16">
      <c r="A12" s="11" t="inlineStr">
        <is>
          <t>RLM-08</t>
        </is>
      </c>
      <c r="B12" s="11" t="inlineStr">
        <is>
          <t>PCPE (Agente/Escrivão)</t>
        </is>
      </c>
      <c r="C12" s="12" t="inlineStr">
        <is>
          <t>Conjuntos numéricos (inteiros, racionais, reais) e operações com conjuntos</t>
        </is>
      </c>
      <c r="D12" s="11" t="inlineStr">
        <is>
          <t>Fase 2 - Cebraspe</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7.5" customHeight="1" s="16">
      <c r="A13" s="6" t="inlineStr">
        <is>
          <t>RLM-09</t>
        </is>
      </c>
      <c r="B13" s="6" t="inlineStr">
        <is>
          <t>PCPE (Agente/Escrivão)</t>
        </is>
      </c>
      <c r="C13" s="7" t="inlineStr">
        <is>
          <t>Razões, proporções, divisão proporcional e regra de três simples/composta</t>
        </is>
      </c>
      <c r="D13" s="6" t="inlineStr">
        <is>
          <t>Fase 2 - Cebraspe</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2.75" customHeight="1" s="16">
      <c r="A14" s="11" t="inlineStr">
        <is>
          <t>RLM-10</t>
        </is>
      </c>
      <c r="B14" s="11" t="inlineStr">
        <is>
          <t>PCPE (Agente/Escrivão)</t>
        </is>
      </c>
      <c r="C14" s="12" t="inlineStr">
        <is>
          <t>Porcentagens, equações/inequações de 1º e 2º graus e sistemas lineares</t>
        </is>
      </c>
      <c r="D14" s="11" t="inlineStr">
        <is>
          <t>Fase 2 - Cebraspe</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1.25" customHeight="1" s="16">
      <c r="A15" s="6" t="inlineStr">
        <is>
          <t>RLM-11</t>
        </is>
      </c>
      <c r="B15" s="6" t="inlineStr">
        <is>
          <t>PCPE (Agente/Escrivão)</t>
        </is>
      </c>
      <c r="C15" s="7" t="inlineStr">
        <is>
          <t>Progressões Aritméticas (PA) e Progressões Geométricas (PG)</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EST-01</t>
        </is>
      </c>
      <c r="B16" s="11" t="inlineStr">
        <is>
          <t>PMPE Oficial / PCPE Agente/Escrivão</t>
        </is>
      </c>
      <c r="C16" s="12" t="inlineStr">
        <is>
          <t>Estatística descritiva e análise exploratória de dados (gráficos, tabelas)</t>
        </is>
      </c>
      <c r="D16" s="11" t="inlineStr">
        <is>
          <t>Fase 2 - Específica</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5" customHeight="1" s="16">
      <c r="A17" s="6" t="inlineStr">
        <is>
          <t>EST-02</t>
        </is>
      </c>
      <c r="B17" s="6" t="inlineStr">
        <is>
          <t>PMPE Oficial / PCPE Agente/Escrivão</t>
        </is>
      </c>
      <c r="C17" s="7" t="inlineStr">
        <is>
          <t>Medidas descritivas de posição (média, mediana, moda) e dispersão (variância, desvio)</t>
        </is>
      </c>
      <c r="D17" s="6" t="inlineStr">
        <is>
          <t>Fase 2 - Específica</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EST-03</t>
        </is>
      </c>
      <c r="B18" s="11" t="inlineStr">
        <is>
          <t>PMPE Oficial / PCPE Agente/Escrivão</t>
        </is>
      </c>
      <c r="C18" s="12" t="inlineStr">
        <is>
          <t>Variável aleatória discreta e contínua, funções de probabilidade e densidade</t>
        </is>
      </c>
      <c r="D18" s="11" t="inlineStr">
        <is>
          <t>Fase 2 - Específica</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EST-04</t>
        </is>
      </c>
      <c r="B19" s="6" t="inlineStr">
        <is>
          <t>PMPE Oficial / PCPE Agente/Escrivão</t>
        </is>
      </c>
      <c r="C19" s="7" t="inlineStr">
        <is>
          <t>Técnicas de amostragem (aleatória simples, estratificada, sistemática, conglomerados)</t>
        </is>
      </c>
      <c r="D19" s="6" t="inlineStr">
        <is>
          <t>Fase 2 - Específica</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EST-05</t>
        </is>
      </c>
      <c r="B20" s="11" t="inlineStr">
        <is>
          <t>PMPE Oficial</t>
        </is>
      </c>
      <c r="C20" s="12" t="inlineStr">
        <is>
          <t>Testes de Hipóteses (Teste t, F, Análise de Variância) e Regressão Linear</t>
        </is>
      </c>
      <c r="D20" s="11" t="inlineStr">
        <is>
          <t>Fase 1 - AOCP</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N18"/>
  <sheetViews>
    <sheetView workbookViewId="0">
      <selection activeCell="C11" sqref="C11"/>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INFORMÁTICA &amp; NOÇÕES DE ARQUIVOLOGIA</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32.25" customHeight="1" s="16">
      <c r="A5" s="6" t="inlineStr">
        <is>
          <t>INF-01</t>
        </is>
      </c>
      <c r="B5" s="6" t="inlineStr">
        <is>
          <t>Todos os Cargos</t>
        </is>
      </c>
      <c r="C5" s="13" t="inlineStr">
        <is>
          <t>Sistema Operacional Windows 11: conceito, interface, gerenciamento de arquivos/pastas</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INF-02</t>
        </is>
      </c>
      <c r="B6" s="11" t="inlineStr">
        <is>
          <t>Todos os Cargos</t>
        </is>
      </c>
      <c r="C6" s="12" t="inlineStr">
        <is>
          <t>Microsoft 365 / Office 2019: Word (formatação, estilos, tabelas, configuração)</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INF-03</t>
        </is>
      </c>
      <c r="B7" s="6" t="inlineStr">
        <is>
          <t>Todos os Cargos</t>
        </is>
      </c>
      <c r="C7" s="7" t="inlineStr">
        <is>
          <t>Microsoft 365 / Office 2019: Excel (fórmulas, funções, referências, gráficos, formatação)</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INF-04</t>
        </is>
      </c>
      <c r="B8" s="11" t="inlineStr">
        <is>
          <t>Todos os Cargos</t>
        </is>
      </c>
      <c r="C8" s="14" t="inlineStr">
        <is>
          <t>Microsoft 365 / Office 2019: PowerPoint e LibreOffice (Writer, Calc, Impress)</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INF-05</t>
        </is>
      </c>
      <c r="B9" s="6" t="inlineStr">
        <is>
          <t>Todos os Cargos</t>
        </is>
      </c>
      <c r="C9" s="7" t="inlineStr">
        <is>
          <t>Conceitos de Internet e Intranet, navegadores (Chrome, Edge, Firefox), busca avançada</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INF-06</t>
        </is>
      </c>
      <c r="B10" s="11" t="inlineStr">
        <is>
          <t>Todos os Cargos</t>
        </is>
      </c>
      <c r="C10" s="12" t="inlineStr">
        <is>
          <t>Serviços de Internet, redes sociais, computação em nuvem, Deep Web e Dark Web</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INF-07</t>
        </is>
      </c>
      <c r="B11" s="6" t="inlineStr">
        <is>
          <t>Todos os Cargos</t>
        </is>
      </c>
      <c r="C11" s="13" t="inlineStr">
        <is>
          <t>Segurança da Informação: ameaças, malwares, phishing, criptografia, antivírus e firewall</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INF-08</t>
        </is>
      </c>
      <c r="B12" s="11" t="inlineStr">
        <is>
          <t>Todos os Cargos</t>
        </is>
      </c>
      <c r="C12" s="12" t="inlineStr">
        <is>
          <t>Procedimentos de backup, armazenamento em nuvem e cópia de segurança</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INF-09</t>
        </is>
      </c>
      <c r="B13" s="6" t="inlineStr">
        <is>
          <t>Todos os Cargos</t>
        </is>
      </c>
      <c r="C13" s="7" t="inlineStr">
        <is>
          <t>Redes de computadores: conceitos básicos, ferramentas e procedimentos de comunicação</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ARQ-01</t>
        </is>
      </c>
      <c r="B14" s="11" t="inlineStr">
        <is>
          <t>PCPE Escrivão</t>
        </is>
      </c>
      <c r="C14" s="12" t="inlineStr">
        <is>
          <t>Arquivística: princípios, conceitos fundamentais e funções arquivísticas</t>
        </is>
      </c>
      <c r="D14" s="11" t="inlineStr">
        <is>
          <t>Fase 2 - Exclusiva Escrivão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ARQ-02</t>
        </is>
      </c>
      <c r="B15" s="6" t="inlineStr">
        <is>
          <t>PCPE Escrivão</t>
        </is>
      </c>
      <c r="C15" s="7" t="inlineStr">
        <is>
          <t>Legislação arquivística, sistemas e redes de arquivo</t>
        </is>
      </c>
      <c r="D15" s="6" t="inlineStr">
        <is>
          <t>Fase 2 - Exclusiva Escrivão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ARQ-03</t>
        </is>
      </c>
      <c r="B16" s="11" t="inlineStr">
        <is>
          <t>PCPE Escrivão</t>
        </is>
      </c>
      <c r="C16" s="12" t="inlineStr">
        <is>
          <t>Gestão de documentos e protocolo (recebimento, registro, distribuição, tramitação)</t>
        </is>
      </c>
      <c r="D16" s="11" t="inlineStr">
        <is>
          <t>Fase 2 - Exclusiva Escrivão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ARQ-04</t>
        </is>
      </c>
      <c r="B17" s="6" t="inlineStr">
        <is>
          <t>PCPE Escrivão</t>
        </is>
      </c>
      <c r="C17" s="7" t="inlineStr">
        <is>
          <t>Avaliação, classificação, ordenação, arquivamento e conservação de documentos</t>
        </is>
      </c>
      <c r="D17" s="6" t="inlineStr">
        <is>
          <t>Fase 2 - Exclusiva Escrivão</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ARQ-05</t>
        </is>
      </c>
      <c r="B18" s="11" t="inlineStr">
        <is>
          <t>PCPE Escrivão</t>
        </is>
      </c>
      <c r="C18" s="12" t="inlineStr">
        <is>
          <t>Sistemas informatizados de gestão arquivística, documentos digitais e metadados</t>
        </is>
      </c>
      <c r="D18" s="11" t="inlineStr">
        <is>
          <t>Fase 2 - Exclusiva Escrivão</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N22"/>
  <sheetViews>
    <sheetView workbookViewId="0">
      <selection activeCell="C20" sqref="C20"/>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CONSTITUCIONAL &amp; DIREITOS HUMANOS</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DIR-CONST-01</t>
        </is>
      </c>
      <c r="B5" s="6" t="inlineStr">
        <is>
          <t>Todos os Cargos</t>
        </is>
      </c>
      <c r="C5" s="7" t="inlineStr">
        <is>
          <t>Princípios Fundamentais da CRFB/88 (Art. 1º ao 4º)</t>
        </is>
      </c>
      <c r="D5" s="6" t="inlineStr">
        <is>
          <t>Fase 1 - Tronco Comum</t>
        </is>
      </c>
      <c r="E5" s="8" t="n"/>
      <c r="F5" s="23" t="n">
        <v>46319</v>
      </c>
      <c r="G5" s="8" t="inlineStr">
        <is>
          <t>Pendente</t>
        </is>
      </c>
      <c r="H5" s="8" t="inlineStr">
        <is>
          <t>Pendente</t>
        </is>
      </c>
      <c r="I5" s="8" t="inlineStr">
        <is>
          <t>Pendente</t>
        </is>
      </c>
      <c r="J5" s="8" t="inlineStr">
        <is>
          <t>Pendente</t>
        </is>
      </c>
      <c r="K5" s="9" t="n">
        <v>0</v>
      </c>
      <c r="L5" s="10" t="n">
        <v>0</v>
      </c>
      <c r="M5" s="8" t="inlineStr">
        <is>
          <t>Concluído</t>
        </is>
      </c>
      <c r="N5" s="7" t="n"/>
    </row>
    <row r="6" ht="21.95" customHeight="1" s="16">
      <c r="A6" s="11" t="inlineStr">
        <is>
          <t>DIR-CONST-02</t>
        </is>
      </c>
      <c r="B6" s="11" t="inlineStr">
        <is>
          <t>Todos os Cargos</t>
        </is>
      </c>
      <c r="C6" s="14" t="inlineStr">
        <is>
          <t>Direitos e Deveres Individuais e Coletivos (Art. 5º)</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39.75" customHeight="1" s="16">
      <c r="A7" s="6" t="inlineStr">
        <is>
          <t>DIR-CONST-03</t>
        </is>
      </c>
      <c r="B7" s="6" t="inlineStr">
        <is>
          <t>Todos os Cargos</t>
        </is>
      </c>
      <c r="C7" s="13" t="inlineStr">
        <is>
          <t>Direitos Sociais, Nacionalidade e Direitos Políticos (Art. 6º ao 16)</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39" customHeight="1" s="16">
      <c r="A8" s="11" t="inlineStr">
        <is>
          <t>DIR-CONST-04</t>
        </is>
      </c>
      <c r="B8" s="11" t="inlineStr">
        <is>
          <t>Todos os Cargos</t>
        </is>
      </c>
      <c r="C8" s="14" t="inlineStr">
        <is>
          <t>Remédios Constitucionais (HC, MS, MI, HD, Ação Popular)</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32.25" customHeight="1" s="16">
      <c r="A9" s="6" t="inlineStr">
        <is>
          <t>DIR-CONST-05</t>
        </is>
      </c>
      <c r="B9" s="6" t="inlineStr">
        <is>
          <t>Todos os Cargos</t>
        </is>
      </c>
      <c r="C9" s="13" t="inlineStr">
        <is>
          <t>Organização Político-Administrativa do Estado (União, Estados, DF, Municípios)</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5.25" customHeight="1" s="16">
      <c r="A10" s="11" t="inlineStr">
        <is>
          <t>DIR-CONST-06</t>
        </is>
      </c>
      <c r="B10" s="11" t="inlineStr">
        <is>
          <t>Todos os Cargos</t>
        </is>
      </c>
      <c r="C10" s="12" t="inlineStr">
        <is>
          <t>Administração Pública e Servidores Públicos (Art. 37 ao 41)</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DIR-CONST-07</t>
        </is>
      </c>
      <c r="B11" s="6" t="inlineStr">
        <is>
          <t>PMPE (Soldado/Oficial)</t>
        </is>
      </c>
      <c r="C11" s="7" t="inlineStr">
        <is>
          <t>Dos Militares dos Estados, DF e Territórios (Art. 42 e 142)</t>
        </is>
      </c>
      <c r="D11" s="6" t="inlineStr">
        <is>
          <t>Fase 1 - Instituto AOCP</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DIR-CONST-08</t>
        </is>
      </c>
      <c r="B12" s="11" t="inlineStr">
        <is>
          <t>Todos os Cargos</t>
        </is>
      </c>
      <c r="C12" s="12" t="inlineStr">
        <is>
          <t>Poder Executivo, Poder Legislativo e Poder Judiciário</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36" customHeight="1" s="16">
      <c r="A13" s="6" t="inlineStr">
        <is>
          <t>DIR-CONST-09</t>
        </is>
      </c>
      <c r="B13" s="6" t="inlineStr">
        <is>
          <t>Todos os Cargos</t>
        </is>
      </c>
      <c r="C13" s="7" t="inlineStr">
        <is>
          <t>Funções Essenciais à Justiça (MP, Advocacia Pública, Defensoria Pública)</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34.5" customHeight="1" s="16">
      <c r="A14" s="11" t="inlineStr">
        <is>
          <t>DIR-CONST-10</t>
        </is>
      </c>
      <c r="B14" s="11" t="inlineStr">
        <is>
          <t>Todos os Cargos</t>
        </is>
      </c>
      <c r="C14" s="14" t="inlineStr">
        <is>
          <t>Defesa do Estado e das Instituições Democráticas / Segurança Pública (Art. 144 CF/88)</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35.25" customHeight="1" s="16">
      <c r="A15" s="6" t="inlineStr">
        <is>
          <t>DIR-CONST-11</t>
        </is>
      </c>
      <c r="B15" s="6" t="inlineStr">
        <is>
          <t>PCPE (Agente/Escrivão/Del)</t>
        </is>
      </c>
      <c r="C15" s="7" t="inlineStr">
        <is>
          <t>Constituição do Estado de Pernambuco (Art. 101 a 105-B)</t>
        </is>
      </c>
      <c r="D15" s="6" t="inlineStr">
        <is>
          <t>Fase 2 - Cebraspe</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DIR-CONST-12</t>
        </is>
      </c>
      <c r="B16" s="11" t="inlineStr">
        <is>
          <t>PMPE Oficial / PCPE Delegado</t>
        </is>
      </c>
      <c r="C16" s="12" t="inlineStr">
        <is>
          <t>Poder Constituinte (Originário, Derivado, Decorrente, Mutação)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DIR-CONST-13</t>
        </is>
      </c>
      <c r="B17" s="6" t="inlineStr">
        <is>
          <t>PMPE Oficial / PCPE Delegado</t>
        </is>
      </c>
      <c r="C17" s="7" t="inlineStr">
        <is>
          <t>Controle de Constitucionalidade (Difuso, Concentrado, ADI, ADC, ADPF)</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DIR-DH-01</t>
        </is>
      </c>
      <c r="B18" s="11" t="inlineStr">
        <is>
          <t>Todos os Cargos</t>
        </is>
      </c>
      <c r="C18" s="12" t="inlineStr">
        <is>
          <t>Teoria Geral dos Direitos Humanos, conceito, evolução e gerações</t>
        </is>
      </c>
      <c r="D18" s="11" t="inlineStr">
        <is>
          <t>Fase 1 - Tronco Comum</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8.25" customHeight="1" s="16">
      <c r="A19" s="6" t="inlineStr">
        <is>
          <t>DIR-DH-02</t>
        </is>
      </c>
      <c r="B19" s="6" t="inlineStr">
        <is>
          <t>Todos os Cargos</t>
        </is>
      </c>
      <c r="C19" s="13" t="inlineStr">
        <is>
          <t>Declaração Universal dos Direitos Humanos - DUDH (ONU 1948)</t>
        </is>
      </c>
      <c r="D19" s="6" t="inlineStr">
        <is>
          <t>Fase 1 - Tronco Comum</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6" customHeight="1" s="16">
      <c r="A20" s="11" t="inlineStr">
        <is>
          <t>DIR-DH-03</t>
        </is>
      </c>
      <c r="B20" s="11" t="inlineStr">
        <is>
          <t>Todos os Cargos</t>
        </is>
      </c>
      <c r="C20" s="14" t="inlineStr">
        <is>
          <t>Convenção Americana sobre Direitos Humanos - Pacto de San José da Costa Rica</t>
        </is>
      </c>
      <c r="D20" s="11" t="inlineStr">
        <is>
          <t>Fase 1 - Tronco Comum</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DIR-DH-04</t>
        </is>
      </c>
      <c r="B21" s="6" t="inlineStr">
        <is>
          <t>Todos os Cargos</t>
        </is>
      </c>
      <c r="C21" s="7" t="inlineStr">
        <is>
          <t>Incorporação dos Tratados Internacionais de DH (Art. 5º, §§ 2º e 3º CF/88)</t>
        </is>
      </c>
      <c r="D21" s="6" t="inlineStr">
        <is>
          <t>Fase 1 - Tronco Comum</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DIR-DH-05</t>
        </is>
      </c>
      <c r="B22" s="11" t="inlineStr">
        <is>
          <t>Todos os Cargos</t>
        </is>
      </c>
      <c r="C22" s="12" t="inlineStr">
        <is>
          <t>Proteção a Grupos Vulneráveis (Mulheres, Crianças, Idosos, PcD, Igualdade Racial)</t>
        </is>
      </c>
      <c r="D22" s="11" t="inlineStr">
        <is>
          <t>Fase 1 - Tronco Comum</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
  <sheetViews>
    <sheetView workbookViewId="0">
      <selection activeCell="C13" sqref="C13"/>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ADMINISTRATIVO</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1.25" customHeight="1" s="16">
      <c r="A5" s="6" t="inlineStr">
        <is>
          <t>DIR-ADM-01</t>
        </is>
      </c>
      <c r="B5" s="6" t="inlineStr">
        <is>
          <t>PMPE Oficial / PCPE Agente/Escrivão/Del</t>
        </is>
      </c>
      <c r="C5" s="7" t="inlineStr">
        <is>
          <t>Estado, Governo, Administração Pública e Direito Administrativo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50.25" customHeight="1" s="16">
      <c r="A6" s="11" t="inlineStr">
        <is>
          <t>DIR-ADM-02</t>
        </is>
      </c>
      <c r="B6" s="11" t="inlineStr">
        <is>
          <t>PMPE Oficial / PCPE Agente/Escrivão/Del</t>
        </is>
      </c>
      <c r="C6" s="14" t="inlineStr">
        <is>
          <t>Regime Jurídico-Administrativo e Princípios Expressos e Implícitos (LIMPE + LINDB)</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DIR-ADM-03</t>
        </is>
      </c>
      <c r="B7" s="6" t="inlineStr">
        <is>
          <t>PMPE Oficial / PCPE Agente/Escrivão/Del</t>
        </is>
      </c>
      <c r="C7" s="13" t="inlineStr">
        <is>
          <t>Poderes Administrativos: Hierárquico, Disciplinar, Regulamentar, Polícia e Abuso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2" customHeight="1" s="16">
      <c r="A8" s="11" t="inlineStr">
        <is>
          <t>DIR-ADM-04</t>
        </is>
      </c>
      <c r="B8" s="11" t="inlineStr">
        <is>
          <t>PMPE Oficial / PCPE Agente/Escrivão/Del</t>
        </is>
      </c>
      <c r="C8" s="14" t="inlineStr">
        <is>
          <t>Atos Administrativos: conceito, elementos/requisitos, atributos, espécies, convalidação e extinção</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5" customHeight="1" s="16">
      <c r="A9" s="6" t="inlineStr">
        <is>
          <t>DIR-ADM-05</t>
        </is>
      </c>
      <c r="B9" s="6" t="inlineStr">
        <is>
          <t>PMPE Oficial / PCPE Agente/Escrivão/Del</t>
        </is>
      </c>
      <c r="C9" s="13" t="inlineStr">
        <is>
          <t>Organização Administrativa: Desconcentração, Descentralização, Adm. Direta e Indireta</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3" customHeight="1" s="16">
      <c r="A10" s="11" t="inlineStr">
        <is>
          <t>DIR-ADM-06</t>
        </is>
      </c>
      <c r="B10" s="11" t="inlineStr">
        <is>
          <t>PMPE Oficial / PCPE Agente/Escrivão/Del</t>
        </is>
      </c>
      <c r="C10" s="14" t="inlineStr">
        <is>
          <t>Agentes Públicos: conceito, classificação, provimento, vacância e regime constitucional</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41.25" customHeight="1" s="16">
      <c r="A11" s="6" t="inlineStr">
        <is>
          <t>DIR-ADM-07</t>
        </is>
      </c>
      <c r="B11" s="6" t="inlineStr">
        <is>
          <t>PMPE Oficial / PCPE Agente/Escrivão/Del</t>
        </is>
      </c>
      <c r="C11" s="7" t="inlineStr">
        <is>
          <t>Responsabilidade Civil do Estado (Teoria do Risco Administrativo e Ação Regressiva)</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DIR-ADM-08</t>
        </is>
      </c>
      <c r="B12" s="11" t="inlineStr">
        <is>
          <t>PMPE Oficial / PCPE Agente/Escrivão/Del</t>
        </is>
      </c>
      <c r="C12" s="12" t="inlineStr">
        <is>
          <t>Serviços Públicos: conceito, regulação, concessão, permissão e autorização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DIR-ADM-09</t>
        </is>
      </c>
      <c r="B13" s="6" t="inlineStr">
        <is>
          <t>PMPE Oficial / PCPE Agente/Escrivão/Del</t>
        </is>
      </c>
      <c r="C13" s="7" t="inlineStr">
        <is>
          <t>Licitações e Contratos Administrativos (Lei Federal nº 14.133/2021)</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DIR-ADM-10</t>
        </is>
      </c>
      <c r="B14" s="11" t="inlineStr">
        <is>
          <t>PMPE Oficial / PCPE Agente/Escrivão/Del</t>
        </is>
      </c>
      <c r="C14" s="12" t="inlineStr">
        <is>
          <t>Improbidade Administrativa (Lei Federal nº 8.429/1992 com alterações da Lei 14.230/2021)</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DIR-ADM-11</t>
        </is>
      </c>
      <c r="B15" s="6" t="inlineStr">
        <is>
          <t>PMPE Oficial / PCPE Agente/Escrivão/Del</t>
        </is>
      </c>
      <c r="C15" s="7" t="inlineStr">
        <is>
          <t>Processo Administrativo (Lei Estadual nº 11.781/2000 e Lei Federal nº 9.784/1999)</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DIR-ADM-12</t>
        </is>
      </c>
      <c r="B16" s="11" t="inlineStr">
        <is>
          <t>PMPE Oficial / PCPE Agente/Escrivão/Del</t>
        </is>
      </c>
      <c r="C16" s="12" t="inlineStr">
        <is>
          <t>Controle da Administração Pública (Administrativo, Judicial e Legislativo)</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21.95" customHeight="1" s="16">
      <c r="A17" s="6" t="inlineStr">
        <is>
          <t>DIR-ADM-13</t>
        </is>
      </c>
      <c r="B17" s="6" t="inlineStr">
        <is>
          <t>PMPE Oficial / PCPE Agente/Escrivão/Del</t>
        </is>
      </c>
      <c r="C17" s="7" t="inlineStr">
        <is>
          <t>Lei de Acesso à Informação (LAI) e Lei Geral de Proteção de Dados (LGPD)</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DIR-ADM-14</t>
        </is>
      </c>
      <c r="B18" s="11" t="inlineStr">
        <is>
          <t>PMPE Oficial / PCPE Delegado</t>
        </is>
      </c>
      <c r="C18" s="12" t="inlineStr">
        <is>
          <t>Bens Públicos e Intervenção do Estado na Propriedade (Desapropriação, Tombamento)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23"/>
  <sheetViews>
    <sheetView topLeftCell="A2" workbookViewId="0">
      <selection activeCell="C17" sqref="C17"/>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DIREITO PENAL &amp; DIREITO PROCESSUAL PENAL</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44.25" customHeight="1" s="16">
      <c r="A5" s="6" t="inlineStr">
        <is>
          <t>PENAL-01</t>
        </is>
      </c>
      <c r="B5" s="6" t="inlineStr">
        <is>
          <t>PMPE Oficial / PCPE Agente/Escrivão/Del</t>
        </is>
      </c>
      <c r="C5" s="7" t="inlineStr">
        <is>
          <t>Princípios fundamentais do Direito Penal e Aplicação da Lei Penal no tempo e espaço</t>
        </is>
      </c>
      <c r="D5" s="6" t="inlineStr">
        <is>
          <t>Fase 1 / 2</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38.25" customHeight="1" s="16">
      <c r="A6" s="11" t="inlineStr">
        <is>
          <t>PENAL-02</t>
        </is>
      </c>
      <c r="B6" s="11" t="inlineStr">
        <is>
          <t>PMPE Oficial / PCPE Agente/Escrivão/Del</t>
        </is>
      </c>
      <c r="C6" s="14" t="inlineStr">
        <is>
          <t>Teoria Geral do Crime: conceito, objeto, sujeitos, conduta, resultado e nexo causal</t>
        </is>
      </c>
      <c r="D6" s="11" t="inlineStr">
        <is>
          <t>Fase 1 / 2</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43.5" customHeight="1" s="16">
      <c r="A7" s="6" t="inlineStr">
        <is>
          <t>PENAL-03</t>
        </is>
      </c>
      <c r="B7" s="6" t="inlineStr">
        <is>
          <t>PMPE Oficial / PCPE Agente/Escrivão/Del</t>
        </is>
      </c>
      <c r="C7" s="7" t="inlineStr">
        <is>
          <t>Crime doloso, culposo, preterdoloso, Erro de Tipo e Erro de Proibição</t>
        </is>
      </c>
      <c r="D7" s="6" t="inlineStr">
        <is>
          <t>Fase 1 / 2</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46.5" customHeight="1" s="16">
      <c r="A8" s="11" t="inlineStr">
        <is>
          <t>PENAL-04</t>
        </is>
      </c>
      <c r="B8" s="11" t="inlineStr">
        <is>
          <t>PMPE Oficial / PCPE Agente/Escrivão/Del</t>
        </is>
      </c>
      <c r="C8" s="12" t="inlineStr">
        <is>
          <t>Iter criminis: consumação, tentativa, desistência voluntária e arrependimento eficaz</t>
        </is>
      </c>
      <c r="D8" s="11" t="inlineStr">
        <is>
          <t>Fase 1 / 2</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43.5" customHeight="1" s="16">
      <c r="A9" s="6" t="inlineStr">
        <is>
          <t>PENAL-05</t>
        </is>
      </c>
      <c r="B9" s="6" t="inlineStr">
        <is>
          <t>PMPE Oficial / PCPE Agente/Escrivão/Del</t>
        </is>
      </c>
      <c r="C9" s="7" t="inlineStr">
        <is>
          <t>Ilicitude e Excludentes de Ilicitude (Legítima defesa, estado de necessidade, etc.)</t>
        </is>
      </c>
      <c r="D9" s="6" t="inlineStr">
        <is>
          <t>Fase 1 / 2</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32.25" customHeight="1" s="16">
      <c r="A10" s="11" t="inlineStr">
        <is>
          <t>PENAL-06</t>
        </is>
      </c>
      <c r="B10" s="11" t="inlineStr">
        <is>
          <t>PMPE Oficial / PCPE Agente/Escrivão/Del</t>
        </is>
      </c>
      <c r="C10" s="12" t="inlineStr">
        <is>
          <t>Culpabilidade e Excludentes de Culpabilidade / Concurso de Pessoas</t>
        </is>
      </c>
      <c r="D10" s="11" t="inlineStr">
        <is>
          <t>Fase 1 / 2</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36" customHeight="1" s="16">
      <c r="A11" s="6" t="inlineStr">
        <is>
          <t>PENAL-07</t>
        </is>
      </c>
      <c r="B11" s="6" t="inlineStr">
        <is>
          <t>PMPE Oficial / PCPE Agente/Escrivão/Del</t>
        </is>
      </c>
      <c r="C11" s="13" t="inlineStr">
        <is>
          <t>Crimes contra a Pessoa (Homicídio, Lesão Corporal, etc.)</t>
        </is>
      </c>
      <c r="D11" s="6" t="inlineStr">
        <is>
          <t>Fase 1 / 2</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35.25" customHeight="1" s="16">
      <c r="A12" s="11" t="inlineStr">
        <is>
          <t>PENAL-08</t>
        </is>
      </c>
      <c r="B12" s="11" t="inlineStr">
        <is>
          <t>PMPE Oficial / PCPE Agente/Escrivão/Del</t>
        </is>
      </c>
      <c r="C12" s="14" t="inlineStr">
        <is>
          <t>Crimes contra o Patrimônio (Furto, Roubo, Extorsão, Estelionato, Dano, Receptação)</t>
        </is>
      </c>
      <c r="D12" s="11" t="inlineStr">
        <is>
          <t>Fase 1 / 2</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40.5" customHeight="1" s="16">
      <c r="A13" s="6" t="inlineStr">
        <is>
          <t>PENAL-09</t>
        </is>
      </c>
      <c r="B13" s="6" t="inlineStr">
        <is>
          <t>PMPE Oficial / PCPE Agente/Escrivão/Del</t>
        </is>
      </c>
      <c r="C13" s="7" t="inlineStr">
        <is>
          <t>Crimes contra a Dignidade Sexual (Estupro, Assédio, Importunação Sexual)</t>
        </is>
      </c>
      <c r="D13" s="6" t="inlineStr">
        <is>
          <t>Fase 1 / 2</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44.25" customHeight="1" s="16">
      <c r="A14" s="11" t="inlineStr">
        <is>
          <t>PENAL-10</t>
        </is>
      </c>
      <c r="B14" s="11" t="inlineStr">
        <is>
          <t>PMPE Oficial / PCPE Agente/Escrivão/Del</t>
        </is>
      </c>
      <c r="C14" s="14" t="inlineStr">
        <is>
          <t>Crimes contra a Administração Pública (Peculato, Concussão, Corrupção, Prevaricação)</t>
        </is>
      </c>
      <c r="D14" s="11" t="inlineStr">
        <is>
          <t>Fase 1 / 2</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45.75" customHeight="1" s="16">
      <c r="A15" s="6" t="inlineStr">
        <is>
          <t>PENAL-11</t>
        </is>
      </c>
      <c r="B15" s="6" t="inlineStr">
        <is>
          <t>PMPE Oficial / PCPE Delegado</t>
        </is>
      </c>
      <c r="C15" s="7" t="inlineStr">
        <is>
          <t>Das Penas, Cominação, Aplicação e Extinção da Punibilidade / Prescrição</t>
        </is>
      </c>
      <c r="D15" s="6" t="inlineStr">
        <is>
          <t>Fase 1 / 2</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9.75" customHeight="1" s="16">
      <c r="A16" s="11" t="inlineStr">
        <is>
          <t>PROC-PENAL-01</t>
        </is>
      </c>
      <c r="B16" s="11" t="inlineStr">
        <is>
          <t>PMPE Oficial / PCPE Agente/Escrivão/Del</t>
        </is>
      </c>
      <c r="C16" s="14" t="inlineStr">
        <is>
          <t>Inquérito Policial: conceito, características, instauração, indiciamento e prazos</t>
        </is>
      </c>
      <c r="D16" s="11" t="inlineStr">
        <is>
          <t>Fase 1 / 2</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42" customHeight="1" s="16">
      <c r="A17" s="6" t="inlineStr">
        <is>
          <t>PROC-PENAL-02</t>
        </is>
      </c>
      <c r="B17" s="6" t="inlineStr">
        <is>
          <t>PMPE Oficial / PCPE Agente/Escrivão/Del</t>
        </is>
      </c>
      <c r="C17" s="13" t="inlineStr">
        <is>
          <t>Arquivamento e trancamento do Inquérito Policial / Termo Circunstanciado (TCO)</t>
        </is>
      </c>
      <c r="D17" s="6" t="inlineStr">
        <is>
          <t>Fase 1 / 2</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PROC-PENAL-03</t>
        </is>
      </c>
      <c r="B18" s="11" t="inlineStr">
        <is>
          <t>PMPE Oficial / PCPE Agente/Escrivão/Del</t>
        </is>
      </c>
      <c r="C18" s="12" t="inlineStr">
        <is>
          <t>Ação Penal (Pública e Privada) e Ação Civil ex delicto</t>
        </is>
      </c>
      <c r="D18" s="11" t="inlineStr">
        <is>
          <t>Fase 1 / 2</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21.95" customHeight="1" s="16">
      <c r="A19" s="6" t="inlineStr">
        <is>
          <t>PROC-PENAL-04</t>
        </is>
      </c>
      <c r="B19" s="6" t="inlineStr">
        <is>
          <t>PMPE Oficial / PCPE Agente/Escrivão/Del</t>
        </is>
      </c>
      <c r="C19" s="7" t="inlineStr">
        <is>
          <t>Provas: Exame de corpo de delito, Perícias, Interrogatório, Confissão e Testemunhas</t>
        </is>
      </c>
      <c r="D19" s="6" t="inlineStr">
        <is>
          <t>Fase 1 / 2</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21.95" customHeight="1" s="16">
      <c r="A20" s="11" t="inlineStr">
        <is>
          <t>PROC-PENAL-05</t>
        </is>
      </c>
      <c r="B20" s="11" t="inlineStr">
        <is>
          <t>PMPE Oficial / PCPE Agente/Escrivão/Del</t>
        </is>
      </c>
      <c r="C20" s="12" t="inlineStr">
        <is>
          <t>Busca e Apreensão (pessoal, domiciliar, requisitos e mandado)</t>
        </is>
      </c>
      <c r="D20" s="11" t="inlineStr">
        <is>
          <t>Fase 1 / 2</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PROC-PENAL-06</t>
        </is>
      </c>
      <c r="B21" s="6" t="inlineStr">
        <is>
          <t>PMPE Oficial / PCPE Agente/Escrivão/Del</t>
        </is>
      </c>
      <c r="C21" s="7" t="inlineStr">
        <is>
          <t>Prisão em Flagrante, Prisão Preventiva e Prisão Temporária (Lei nº 7.960/1989)</t>
        </is>
      </c>
      <c r="D21" s="6" t="inlineStr">
        <is>
          <t>Fase 1 / 2</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PROC-PENAL-07</t>
        </is>
      </c>
      <c r="B22" s="11" t="inlineStr">
        <is>
          <t>PMPE Oficial / PCPE Agente/Escrivão/Del</t>
        </is>
      </c>
      <c r="C22" s="12" t="inlineStr">
        <is>
          <t>Medidas Cautelares diversas da prisão, Liberdade Provisória e Fiança</t>
        </is>
      </c>
      <c r="D22" s="11" t="inlineStr">
        <is>
          <t>Fase 1 / 2</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21.95" customHeight="1" s="16">
      <c r="A23" s="6" t="inlineStr">
        <is>
          <t>PROC-PENAL-08</t>
        </is>
      </c>
      <c r="B23" s="6" t="inlineStr">
        <is>
          <t>PMPE Oficial / PCPE Agente/Escrivão/Del</t>
        </is>
      </c>
      <c r="C23" s="7" t="inlineStr">
        <is>
          <t>Juizados Especiais Criminais (Lei nº 9.099/1995) e Investigação Criminal (Lei nº 12.830/2013)</t>
        </is>
      </c>
      <c r="D23" s="6" t="inlineStr">
        <is>
          <t>Fase 1 / 2</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N23"/>
  <sheetViews>
    <sheetView workbookViewId="0">
      <selection activeCell="C8" sqref="C8"/>
    </sheetView>
  </sheetViews>
  <sheetFormatPr baseColWidth="8" defaultRowHeight="15"/>
  <cols>
    <col width="12" customWidth="1" style="16" min="1" max="1"/>
    <col width="25" customWidth="1" style="16" min="2" max="2"/>
    <col width="50" customWidth="1" style="16" min="3" max="3"/>
    <col width="22"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LEGISLAÇÃO EXTRAVAGANTE &amp; LEGISLAÇÃO / HISTÓRIA DE 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LEG-01</t>
        </is>
      </c>
      <c r="B5" s="6" t="inlineStr">
        <is>
          <t>Todos os Cargos</t>
        </is>
      </c>
      <c r="C5" s="7" t="inlineStr">
        <is>
          <t>Estatuto da Criança e do Adolescente - ECA (Lei nº 8.069/1990)</t>
        </is>
      </c>
      <c r="D5" s="6" t="inlineStr">
        <is>
          <t>Fase 1 - Tronco Comum</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LEG-02</t>
        </is>
      </c>
      <c r="B6" s="11" t="inlineStr">
        <is>
          <t>Todos os Cargos</t>
        </is>
      </c>
      <c r="C6" s="14" t="inlineStr">
        <is>
          <t>Lei do Abuso de Autoridade (Lei nº 13.869/2019)</t>
        </is>
      </c>
      <c r="D6" s="11" t="inlineStr">
        <is>
          <t>Fase 1 - Tronco Comum</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LEG-03</t>
        </is>
      </c>
      <c r="B7" s="6" t="inlineStr">
        <is>
          <t>Todos os Cargos</t>
        </is>
      </c>
      <c r="C7" s="7" t="inlineStr">
        <is>
          <t>Lei de Tortura (Lei nº 9.455/1997)</t>
        </is>
      </c>
      <c r="D7" s="6" t="inlineStr">
        <is>
          <t>Fase 1 - Tronco Comum</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LEG-04</t>
        </is>
      </c>
      <c r="B8" s="11" t="inlineStr">
        <is>
          <t>Todos os Cargos</t>
        </is>
      </c>
      <c r="C8" s="14" t="inlineStr">
        <is>
          <t>Lei Maria da Penha (Lei nº 11.340/2006)</t>
        </is>
      </c>
      <c r="D8" s="11" t="inlineStr">
        <is>
          <t>Fase 1 - Tronco Comum</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LEG-05</t>
        </is>
      </c>
      <c r="B9" s="6" t="inlineStr">
        <is>
          <t>Todos os Cargos</t>
        </is>
      </c>
      <c r="C9" s="7" t="inlineStr">
        <is>
          <t>Lei de Crimes de Preconceito de Raça ou Cor (Lei nº 7.716/1989)</t>
        </is>
      </c>
      <c r="D9" s="6" t="inlineStr">
        <is>
          <t>Fase 1 - Tronco Comum</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LEG-06</t>
        </is>
      </c>
      <c r="B10" s="11" t="inlineStr">
        <is>
          <t>Todos os Cargos</t>
        </is>
      </c>
      <c r="C10" s="12" t="inlineStr">
        <is>
          <t>Lei dos Crimes Ambientais (Lei nº 9.605/1998)</t>
        </is>
      </c>
      <c r="D10" s="11" t="inlineStr">
        <is>
          <t>Fase 1 - Tronco Comum</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LEG-07</t>
        </is>
      </c>
      <c r="B11" s="6" t="inlineStr">
        <is>
          <t>Todos os Cargos</t>
        </is>
      </c>
      <c r="C11" s="7" t="inlineStr">
        <is>
          <t>Lei dos Crimes Hediondos (Lei nº 8.072/1990)</t>
        </is>
      </c>
      <c r="D11" s="6" t="inlineStr">
        <is>
          <t>Fase 1 - Tronco Comum</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LEG-08</t>
        </is>
      </c>
      <c r="B12" s="11" t="inlineStr">
        <is>
          <t>Todos os Cargos</t>
        </is>
      </c>
      <c r="C12" s="14" t="inlineStr">
        <is>
          <t>Lei de Drogas (Lei nº 11.343/2006)</t>
        </is>
      </c>
      <c r="D12" s="11" t="inlineStr">
        <is>
          <t>Fase 1 - Tronco Comum</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LEG-09</t>
        </is>
      </c>
      <c r="B13" s="6" t="inlineStr">
        <is>
          <t>Todos os Cargos</t>
        </is>
      </c>
      <c r="C13" s="7" t="inlineStr">
        <is>
          <t>Estatuto do Desarmamento (Lei nº 10.826/2003)</t>
        </is>
      </c>
      <c r="D13" s="6" t="inlineStr">
        <is>
          <t>Fase 1 - Tronco Comum</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LEG-10</t>
        </is>
      </c>
      <c r="B14" s="11" t="inlineStr">
        <is>
          <t>Todos os Cargos</t>
        </is>
      </c>
      <c r="C14" s="12" t="inlineStr">
        <is>
          <t>Lei das Organizações Criminosas (Lei nº 12.850/2013) e Marco do Crime Organizado</t>
        </is>
      </c>
      <c r="D14" s="11" t="inlineStr">
        <is>
          <t>Fase 1 - Tronco Comum</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LEG-11</t>
        </is>
      </c>
      <c r="B15" s="6" t="inlineStr">
        <is>
          <t>Todos os Cargos</t>
        </is>
      </c>
      <c r="C15" s="7" t="inlineStr">
        <is>
          <t>Estatuto da Pessoa Idosa (Lei nº 10.741/2003) e Estatuto da Juventude (Lei nº 12.852/2013)</t>
        </is>
      </c>
      <c r="D15" s="6" t="inlineStr">
        <is>
          <t>Fase 1 - Tronco Comum</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33" customHeight="1" s="16">
      <c r="A16" s="11" t="inlineStr">
        <is>
          <t>LEG-PE-01</t>
        </is>
      </c>
      <c r="B16" s="11" t="inlineStr">
        <is>
          <t>PMPE (Soldado/Oficial)</t>
        </is>
      </c>
      <c r="C16" s="12" t="inlineStr">
        <is>
          <t>Estatuto dos Policiais Militares de Pernambuco (Lei Estadual nº 6.783/1974)</t>
        </is>
      </c>
      <c r="D16" s="11" t="inlineStr">
        <is>
          <t>Fase 1 - Exclusiva PMPE</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row r="17" ht="34.5" customHeight="1" s="16">
      <c r="A17" s="6" t="inlineStr">
        <is>
          <t>LEG-PE-02</t>
        </is>
      </c>
      <c r="B17" s="6" t="inlineStr">
        <is>
          <t>PCPE (Agente/Escrivão/Del)</t>
        </is>
      </c>
      <c r="C17" s="7" t="inlineStr">
        <is>
          <t>Estatuto dos Policiais Civis de PE (Lei nº 6.425/1972) e Estatuto do Servidor (Lei nº 6.123/1968)</t>
        </is>
      </c>
      <c r="D17" s="6" t="inlineStr">
        <is>
          <t>Fase 2 - Exclusiva PCPE</t>
        </is>
      </c>
      <c r="E17" s="8" t="n"/>
      <c r="F17" s="8" t="n"/>
      <c r="G17" s="8" t="inlineStr">
        <is>
          <t>Pendente</t>
        </is>
      </c>
      <c r="H17" s="8" t="inlineStr">
        <is>
          <t>Pendente</t>
        </is>
      </c>
      <c r="I17" s="8" t="inlineStr">
        <is>
          <t>Pendente</t>
        </is>
      </c>
      <c r="J17" s="8" t="inlineStr">
        <is>
          <t>Pendente</t>
        </is>
      </c>
      <c r="K17" s="9" t="n">
        <v>0</v>
      </c>
      <c r="L17" s="10" t="n">
        <v>0</v>
      </c>
      <c r="M17" s="8" t="inlineStr">
        <is>
          <t>Não Iniciado</t>
        </is>
      </c>
      <c r="N17" s="7" t="n"/>
    </row>
    <row r="18" ht="21.95" customHeight="1" s="16">
      <c r="A18" s="11" t="inlineStr">
        <is>
          <t>LEG-PE-03</t>
        </is>
      </c>
      <c r="B18" s="11" t="inlineStr">
        <is>
          <t>PCPE (Agente/Escrivão/Del)</t>
        </is>
      </c>
      <c r="C18" s="12" t="inlineStr">
        <is>
          <t>Leis Complementares Estaduais nº 137/2008 e nº 317/2015</t>
        </is>
      </c>
      <c r="D18" s="11" t="inlineStr">
        <is>
          <t>Fase 2 - Exclusiva PCPE</t>
        </is>
      </c>
      <c r="E18" s="8" t="n"/>
      <c r="F18" s="8" t="n"/>
      <c r="G18" s="8" t="inlineStr">
        <is>
          <t>Pendente</t>
        </is>
      </c>
      <c r="H18" s="8" t="inlineStr">
        <is>
          <t>Pendente</t>
        </is>
      </c>
      <c r="I18" s="8" t="inlineStr">
        <is>
          <t>Pendente</t>
        </is>
      </c>
      <c r="J18" s="8" t="inlineStr">
        <is>
          <t>Pendente</t>
        </is>
      </c>
      <c r="K18" s="9" t="n">
        <v>0</v>
      </c>
      <c r="L18" s="10" t="n">
        <v>0</v>
      </c>
      <c r="M18" s="8" t="inlineStr">
        <is>
          <t>Não Iniciado</t>
        </is>
      </c>
      <c r="N18" s="12" t="n"/>
    </row>
    <row r="19" ht="36" customHeight="1" s="16">
      <c r="A19" s="6" t="inlineStr">
        <is>
          <t>HIST-PE-01</t>
        </is>
      </c>
      <c r="B19" s="6" t="inlineStr">
        <is>
          <t>PMPE Soldado</t>
        </is>
      </c>
      <c r="C19" s="13" t="inlineStr">
        <is>
          <t>Ocupação e colonização de Pernambuco, Capitanias Hereditárias e Duarte Coelho</t>
        </is>
      </c>
      <c r="D19" s="6" t="inlineStr">
        <is>
          <t>Fase 1 - Exclusiva Soldado</t>
        </is>
      </c>
      <c r="E19" s="8" t="n"/>
      <c r="F19" s="8" t="n"/>
      <c r="G19" s="8" t="inlineStr">
        <is>
          <t>Pendente</t>
        </is>
      </c>
      <c r="H19" s="8" t="inlineStr">
        <is>
          <t>Pendente</t>
        </is>
      </c>
      <c r="I19" s="8" t="inlineStr">
        <is>
          <t>Pendente</t>
        </is>
      </c>
      <c r="J19" s="8" t="inlineStr">
        <is>
          <t>Pendente</t>
        </is>
      </c>
      <c r="K19" s="9" t="n">
        <v>0</v>
      </c>
      <c r="L19" s="10" t="n">
        <v>0</v>
      </c>
      <c r="M19" s="8" t="inlineStr">
        <is>
          <t>Não Iniciado</t>
        </is>
      </c>
      <c r="N19" s="7" t="n"/>
    </row>
    <row r="20" ht="38.25" customHeight="1" s="16">
      <c r="A20" s="11" t="inlineStr">
        <is>
          <t>HIST-PE-02</t>
        </is>
      </c>
      <c r="B20" s="11" t="inlineStr">
        <is>
          <t>PMPE Soldado</t>
        </is>
      </c>
      <c r="C20" s="14" t="inlineStr">
        <is>
          <t>Economia açucareira, formação de Olinda e Recife e Presença Holandesa (Nassau)</t>
        </is>
      </c>
      <c r="D20" s="11" t="inlineStr">
        <is>
          <t>Fase 1 - Exclusiva Soldado</t>
        </is>
      </c>
      <c r="E20" s="8" t="n"/>
      <c r="F20" s="8" t="n"/>
      <c r="G20" s="8" t="inlineStr">
        <is>
          <t>Pendente</t>
        </is>
      </c>
      <c r="H20" s="8" t="inlineStr">
        <is>
          <t>Pendente</t>
        </is>
      </c>
      <c r="I20" s="8" t="inlineStr">
        <is>
          <t>Pendente</t>
        </is>
      </c>
      <c r="J20" s="8" t="inlineStr">
        <is>
          <t>Pendente</t>
        </is>
      </c>
      <c r="K20" s="9" t="n">
        <v>0</v>
      </c>
      <c r="L20" s="10" t="n">
        <v>0</v>
      </c>
      <c r="M20" s="8" t="inlineStr">
        <is>
          <t>Não Iniciado</t>
        </is>
      </c>
      <c r="N20" s="12" t="n"/>
    </row>
    <row r="21" ht="21.95" customHeight="1" s="16">
      <c r="A21" s="6" t="inlineStr">
        <is>
          <t>HIST-PE-03</t>
        </is>
      </c>
      <c r="B21" s="6" t="inlineStr">
        <is>
          <t>PMPE Soldado</t>
        </is>
      </c>
      <c r="C21" s="13" t="inlineStr">
        <is>
          <t>Insurreição Pernambucana (1654) e Guerra dos Mascates (1710)</t>
        </is>
      </c>
      <c r="D21" s="6" t="inlineStr">
        <is>
          <t>Fase 1 - Exclusiva Soldado</t>
        </is>
      </c>
      <c r="E21" s="8" t="n"/>
      <c r="F21" s="8" t="n"/>
      <c r="G21" s="8" t="inlineStr">
        <is>
          <t>Pendente</t>
        </is>
      </c>
      <c r="H21" s="8" t="inlineStr">
        <is>
          <t>Pendente</t>
        </is>
      </c>
      <c r="I21" s="8" t="inlineStr">
        <is>
          <t>Pendente</t>
        </is>
      </c>
      <c r="J21" s="8" t="inlineStr">
        <is>
          <t>Pendente</t>
        </is>
      </c>
      <c r="K21" s="9" t="n">
        <v>0</v>
      </c>
      <c r="L21" s="10" t="n">
        <v>0</v>
      </c>
      <c r="M21" s="8" t="inlineStr">
        <is>
          <t>Não Iniciado</t>
        </is>
      </c>
      <c r="N21" s="7" t="n"/>
    </row>
    <row r="22" ht="21.95" customHeight="1" s="16">
      <c r="A22" s="11" t="inlineStr">
        <is>
          <t>HIST-PE-04</t>
        </is>
      </c>
      <c r="B22" s="11" t="inlineStr">
        <is>
          <t>PMPE Soldado</t>
        </is>
      </c>
      <c r="C22" s="14" t="inlineStr">
        <is>
          <t>Revolução Pernambucana (1817), Confederação do Equador (1824) e Praieira (1848)</t>
        </is>
      </c>
      <c r="D22" s="11" t="inlineStr">
        <is>
          <t>Fase 1 - Exclusiva Soldado</t>
        </is>
      </c>
      <c r="E22" s="8" t="n"/>
      <c r="F22" s="8" t="n"/>
      <c r="G22" s="8" t="inlineStr">
        <is>
          <t>Pendente</t>
        </is>
      </c>
      <c r="H22" s="8" t="inlineStr">
        <is>
          <t>Pendente</t>
        </is>
      </c>
      <c r="I22" s="8" t="inlineStr">
        <is>
          <t>Pendente</t>
        </is>
      </c>
      <c r="J22" s="8" t="inlineStr">
        <is>
          <t>Pendente</t>
        </is>
      </c>
      <c r="K22" s="9" t="n">
        <v>0</v>
      </c>
      <c r="L22" s="10" t="n">
        <v>0</v>
      </c>
      <c r="M22" s="8" t="inlineStr">
        <is>
          <t>Não Iniciado</t>
        </is>
      </c>
      <c r="N22" s="12" t="n"/>
    </row>
    <row r="23" ht="41.25" customHeight="1" s="16">
      <c r="A23" s="6" t="inlineStr">
        <is>
          <t>HIST-PE-05</t>
        </is>
      </c>
      <c r="B23" s="6" t="inlineStr">
        <is>
          <t>PMPE Soldado</t>
        </is>
      </c>
      <c r="C23" s="7" t="inlineStr">
        <is>
          <t>Manifestações da cultura popular pernambucana e aspectos afro-brasileiros</t>
        </is>
      </c>
      <c r="D23" s="6" t="inlineStr">
        <is>
          <t>Fase 1 - Exclusiva Soldado</t>
        </is>
      </c>
      <c r="E23" s="8" t="n"/>
      <c r="F23" s="8" t="n"/>
      <c r="G23" s="8" t="inlineStr">
        <is>
          <t>Pendente</t>
        </is>
      </c>
      <c r="H23" s="8" t="inlineStr">
        <is>
          <t>Pendente</t>
        </is>
      </c>
      <c r="I23" s="8" t="inlineStr">
        <is>
          <t>Pendente</t>
        </is>
      </c>
      <c r="J23" s="8" t="inlineStr">
        <is>
          <t>Pendente</t>
        </is>
      </c>
      <c r="K23" s="9" t="n">
        <v>0</v>
      </c>
      <c r="L23" s="10" t="n">
        <v>0</v>
      </c>
      <c r="M23" s="8" t="inlineStr">
        <is>
          <t>Não Iniciado</t>
        </is>
      </c>
      <c r="N23" s="7"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16"/>
  <sheetViews>
    <sheetView workbookViewId="0">
      <selection activeCell="A1" sqref="A1:N1"/>
    </sheetView>
  </sheetViews>
  <sheetFormatPr baseColWidth="8" defaultRowHeight="15"/>
  <cols>
    <col width="12" customWidth="1" style="16" min="1" max="1"/>
    <col width="25" customWidth="1" style="16" min="2" max="2"/>
    <col width="50" customWidth="1" style="16" min="3" max="3"/>
    <col width="38.42578125" customWidth="1" style="16" min="4" max="4"/>
    <col width="14" customWidth="1" style="16" min="5" max="6"/>
    <col width="12" customWidth="1" style="16" min="7" max="10"/>
    <col width="14" customWidth="1" style="16" min="11" max="11"/>
    <col width="12" customWidth="1" style="16" min="12" max="12"/>
    <col width="16" customWidth="1" style="16" min="13" max="13"/>
    <col width="30" customWidth="1" style="16" min="14" max="14"/>
  </cols>
  <sheetData>
    <row r="1" ht="32.1" customHeight="1" s="16">
      <c r="A1" s="19" t="inlineStr">
        <is>
          <t>DISCIPLINA: MATÉRIAS ESPECÍFICAS DE OFICIAL PMPE &amp; DELEGADO PCPE</t>
        </is>
      </c>
    </row>
    <row r="4" ht="24.95" customHeight="1" s="16">
      <c r="A4" s="1" t="inlineStr">
        <is>
          <t>Cód</t>
        </is>
      </c>
      <c r="B4" s="1" t="inlineStr">
        <is>
          <t>Cargos Aplicáveis</t>
        </is>
      </c>
      <c r="C4" s="1" t="inlineStr">
        <is>
          <t>Conteúdo Programático / Tópico Detalhado</t>
        </is>
      </c>
      <c r="D4" s="1" t="inlineStr">
        <is>
          <t>Fase do Cronograma</t>
        </is>
      </c>
      <c r="E4" s="1" t="inlineStr">
        <is>
          <t>Data Planejada</t>
        </is>
      </c>
      <c r="F4" s="1" t="inlineStr">
        <is>
          <t>Data Estudada</t>
        </is>
      </c>
      <c r="G4" s="1" t="inlineStr">
        <is>
          <t>R1 (24h)</t>
        </is>
      </c>
      <c r="H4" s="1" t="inlineStr">
        <is>
          <t>R2 (7d)</t>
        </is>
      </c>
      <c r="I4" s="1" t="inlineStr">
        <is>
          <t>R3 (15d)</t>
        </is>
      </c>
      <c r="J4" s="1" t="inlineStr">
        <is>
          <t>R4 (30d)</t>
        </is>
      </c>
      <c r="K4" s="1" t="inlineStr">
        <is>
          <t>Nº Questões</t>
        </is>
      </c>
      <c r="L4" s="1" t="inlineStr">
        <is>
          <t>% Acerto</t>
        </is>
      </c>
      <c r="M4" s="1" t="inlineStr">
        <is>
          <t>Status</t>
        </is>
      </c>
      <c r="N4" s="1" t="inlineStr">
        <is>
          <t>Observações / Dúvidas</t>
        </is>
      </c>
    </row>
    <row r="5" ht="21.95" customHeight="1" s="16">
      <c r="A5" s="6" t="inlineStr">
        <is>
          <t>ING/ESP-01</t>
        </is>
      </c>
      <c r="B5" s="6" t="inlineStr">
        <is>
          <t>PMPE Oficial</t>
        </is>
      </c>
      <c r="C5" s="7" t="inlineStr">
        <is>
          <t>Língua Estrangeira (Inglês ou Espanhol): Compreensão de textos e gramática</t>
        </is>
      </c>
      <c r="D5" s="6" t="inlineStr">
        <is>
          <t>Fase 1 - Exclusiva Oficial</t>
        </is>
      </c>
      <c r="E5" s="8" t="n"/>
      <c r="F5" s="8" t="n"/>
      <c r="G5" s="8" t="inlineStr">
        <is>
          <t>Pendente</t>
        </is>
      </c>
      <c r="H5" s="8" t="inlineStr">
        <is>
          <t>Pendente</t>
        </is>
      </c>
      <c r="I5" s="8" t="inlineStr">
        <is>
          <t>Pendente</t>
        </is>
      </c>
      <c r="J5" s="8" t="inlineStr">
        <is>
          <t>Pendente</t>
        </is>
      </c>
      <c r="K5" s="9" t="n">
        <v>0</v>
      </c>
      <c r="L5" s="10" t="n">
        <v>0</v>
      </c>
      <c r="M5" s="8" t="inlineStr">
        <is>
          <t>Não Iniciado</t>
        </is>
      </c>
      <c r="N5" s="7" t="n"/>
    </row>
    <row r="6" ht="21.95" customHeight="1" s="16">
      <c r="A6" s="11" t="inlineStr">
        <is>
          <t>DIR-MIL-01</t>
        </is>
      </c>
      <c r="B6" s="11" t="inlineStr">
        <is>
          <t>PMPE Oficial</t>
        </is>
      </c>
      <c r="C6" s="12" t="inlineStr">
        <is>
          <t>Direito Penal Militar: Aplicação da lei, crime militar, imputabilidade e penas</t>
        </is>
      </c>
      <c r="D6" s="11" t="inlineStr">
        <is>
          <t>Fase 1 - Exclusiva Oficial</t>
        </is>
      </c>
      <c r="E6" s="8" t="n"/>
      <c r="F6" s="8" t="n"/>
      <c r="G6" s="8" t="inlineStr">
        <is>
          <t>Pendente</t>
        </is>
      </c>
      <c r="H6" s="8" t="inlineStr">
        <is>
          <t>Pendente</t>
        </is>
      </c>
      <c r="I6" s="8" t="inlineStr">
        <is>
          <t>Pendente</t>
        </is>
      </c>
      <c r="J6" s="8" t="inlineStr">
        <is>
          <t>Pendente</t>
        </is>
      </c>
      <c r="K6" s="9" t="n">
        <v>0</v>
      </c>
      <c r="L6" s="10" t="n">
        <v>0</v>
      </c>
      <c r="M6" s="8" t="inlineStr">
        <is>
          <t>Não Iniciado</t>
        </is>
      </c>
      <c r="N6" s="12" t="n"/>
    </row>
    <row r="7" ht="21.95" customHeight="1" s="16">
      <c r="A7" s="6" t="inlineStr">
        <is>
          <t>DIR-MIL-02</t>
        </is>
      </c>
      <c r="B7" s="6" t="inlineStr">
        <is>
          <t>PMPE Oficial</t>
        </is>
      </c>
      <c r="C7" s="7" t="inlineStr">
        <is>
          <t>Direito Processual Penal Militar: Polícia Judiciária Militar, IPM e Processo Militar</t>
        </is>
      </c>
      <c r="D7" s="6" t="inlineStr">
        <is>
          <t>Fase 1 - Exclusiva Oficial</t>
        </is>
      </c>
      <c r="E7" s="8" t="n"/>
      <c r="F7" s="8" t="n"/>
      <c r="G7" s="8" t="inlineStr">
        <is>
          <t>Pendente</t>
        </is>
      </c>
      <c r="H7" s="8" t="inlineStr">
        <is>
          <t>Pendente</t>
        </is>
      </c>
      <c r="I7" s="8" t="inlineStr">
        <is>
          <t>Pendente</t>
        </is>
      </c>
      <c r="J7" s="8" t="inlineStr">
        <is>
          <t>Pendente</t>
        </is>
      </c>
      <c r="K7" s="9" t="n">
        <v>0</v>
      </c>
      <c r="L7" s="10" t="n">
        <v>0</v>
      </c>
      <c r="M7" s="8" t="inlineStr">
        <is>
          <t>Não Iniciado</t>
        </is>
      </c>
      <c r="N7" s="7" t="n"/>
    </row>
    <row r="8" ht="21.95" customHeight="1" s="16">
      <c r="A8" s="11" t="inlineStr">
        <is>
          <t>MED-LEG-01</t>
        </is>
      </c>
      <c r="B8" s="11" t="inlineStr">
        <is>
          <t>PCPE Delegado</t>
        </is>
      </c>
      <c r="C8" s="12" t="inlineStr">
        <is>
          <t>Medicina Legal: Perícia, documentos médico-legais e Traumatologia Forense</t>
        </is>
      </c>
      <c r="D8" s="11" t="inlineStr">
        <is>
          <t>Fase 3 - Exclusiva Delegado</t>
        </is>
      </c>
      <c r="E8" s="8" t="n"/>
      <c r="F8" s="8" t="n"/>
      <c r="G8" s="8" t="inlineStr">
        <is>
          <t>Pendente</t>
        </is>
      </c>
      <c r="H8" s="8" t="inlineStr">
        <is>
          <t>Pendente</t>
        </is>
      </c>
      <c r="I8" s="8" t="inlineStr">
        <is>
          <t>Pendente</t>
        </is>
      </c>
      <c r="J8" s="8" t="inlineStr">
        <is>
          <t>Pendente</t>
        </is>
      </c>
      <c r="K8" s="9" t="n">
        <v>0</v>
      </c>
      <c r="L8" s="10" t="n">
        <v>0</v>
      </c>
      <c r="M8" s="8" t="inlineStr">
        <is>
          <t>Não Iniciado</t>
        </is>
      </c>
      <c r="N8" s="12" t="n"/>
    </row>
    <row r="9" ht="21.95" customHeight="1" s="16">
      <c r="A9" s="6" t="inlineStr">
        <is>
          <t>MED-LEG-02</t>
        </is>
      </c>
      <c r="B9" s="6" t="inlineStr">
        <is>
          <t>PCPE Delegado</t>
        </is>
      </c>
      <c r="C9" s="7" t="inlineStr">
        <is>
          <t>Tanatologia Forense (fenômenos cadavéricos, causa jurídica da morte) e Asfixiologia</t>
        </is>
      </c>
      <c r="D9" s="6" t="inlineStr">
        <is>
          <t>Fase 3 - Exclusiva Delegado</t>
        </is>
      </c>
      <c r="E9" s="8" t="n"/>
      <c r="F9" s="8" t="n"/>
      <c r="G9" s="8" t="inlineStr">
        <is>
          <t>Pendente</t>
        </is>
      </c>
      <c r="H9" s="8" t="inlineStr">
        <is>
          <t>Pendente</t>
        </is>
      </c>
      <c r="I9" s="8" t="inlineStr">
        <is>
          <t>Pendente</t>
        </is>
      </c>
      <c r="J9" s="8" t="inlineStr">
        <is>
          <t>Pendente</t>
        </is>
      </c>
      <c r="K9" s="9" t="n">
        <v>0</v>
      </c>
      <c r="L9" s="10" t="n">
        <v>0</v>
      </c>
      <c r="M9" s="8" t="inlineStr">
        <is>
          <t>Não Iniciado</t>
        </is>
      </c>
      <c r="N9" s="7" t="n"/>
    </row>
    <row r="10" ht="21.95" customHeight="1" s="16">
      <c r="A10" s="11" t="inlineStr">
        <is>
          <t>CRIM-01</t>
        </is>
      </c>
      <c r="B10" s="11" t="inlineStr">
        <is>
          <t>PCPE Delegado</t>
        </is>
      </c>
      <c r="C10" s="12" t="inlineStr">
        <is>
          <t>Criminologia: conceito, métodos, objetos (delito, delinquente, vítima, controle social)</t>
        </is>
      </c>
      <c r="D10" s="11" t="inlineStr">
        <is>
          <t>Fase 3 - Exclusiva Delegado</t>
        </is>
      </c>
      <c r="E10" s="8" t="n"/>
      <c r="F10" s="8" t="n"/>
      <c r="G10" s="8" t="inlineStr">
        <is>
          <t>Pendente</t>
        </is>
      </c>
      <c r="H10" s="8" t="inlineStr">
        <is>
          <t>Pendente</t>
        </is>
      </c>
      <c r="I10" s="8" t="inlineStr">
        <is>
          <t>Pendente</t>
        </is>
      </c>
      <c r="J10" s="8" t="inlineStr">
        <is>
          <t>Pendente</t>
        </is>
      </c>
      <c r="K10" s="9" t="n">
        <v>0</v>
      </c>
      <c r="L10" s="10" t="n">
        <v>0</v>
      </c>
      <c r="M10" s="8" t="inlineStr">
        <is>
          <t>Não Iniciado</t>
        </is>
      </c>
      <c r="N10" s="12" t="n"/>
    </row>
    <row r="11" ht="21.95" customHeight="1" s="16">
      <c r="A11" s="6" t="inlineStr">
        <is>
          <t>CRIM-02</t>
        </is>
      </c>
      <c r="B11" s="6" t="inlineStr">
        <is>
          <t>PCPE Delegado</t>
        </is>
      </c>
      <c r="C11" s="7" t="inlineStr">
        <is>
          <t>Modelos teóricos da Criminologia e Prevenção da infração penal no Estado Democrático</t>
        </is>
      </c>
      <c r="D11" s="6" t="inlineStr">
        <is>
          <t>Fase 3 - Exclusiva Delegado</t>
        </is>
      </c>
      <c r="E11" s="8" t="n"/>
      <c r="F11" s="8" t="n"/>
      <c r="G11" s="8" t="inlineStr">
        <is>
          <t>Pendente</t>
        </is>
      </c>
      <c r="H11" s="8" t="inlineStr">
        <is>
          <t>Pendente</t>
        </is>
      </c>
      <c r="I11" s="8" t="inlineStr">
        <is>
          <t>Pendente</t>
        </is>
      </c>
      <c r="J11" s="8" t="inlineStr">
        <is>
          <t>Pendente</t>
        </is>
      </c>
      <c r="K11" s="9" t="n">
        <v>0</v>
      </c>
      <c r="L11" s="10" t="n">
        <v>0</v>
      </c>
      <c r="M11" s="8" t="inlineStr">
        <is>
          <t>Não Iniciado</t>
        </is>
      </c>
      <c r="N11" s="7" t="n"/>
    </row>
    <row r="12" ht="21.95" customHeight="1" s="16">
      <c r="A12" s="11" t="inlineStr">
        <is>
          <t>DIR-CIVIL-01</t>
        </is>
      </c>
      <c r="B12" s="11" t="inlineStr">
        <is>
          <t>PCPE Delegado</t>
        </is>
      </c>
      <c r="C12" s="12" t="inlineStr">
        <is>
          <t>Direito Civil: LINDB, Pessoas, Bens, Fato Jurídico, Negócio Jurídico e Responsabilidade Civil</t>
        </is>
      </c>
      <c r="D12" s="11" t="inlineStr">
        <is>
          <t>Fase 3 - Exclusiva Delegado</t>
        </is>
      </c>
      <c r="E12" s="8" t="n"/>
      <c r="F12" s="8" t="n"/>
      <c r="G12" s="8" t="inlineStr">
        <is>
          <t>Pendente</t>
        </is>
      </c>
      <c r="H12" s="8" t="inlineStr">
        <is>
          <t>Pendente</t>
        </is>
      </c>
      <c r="I12" s="8" t="inlineStr">
        <is>
          <t>Pendente</t>
        </is>
      </c>
      <c r="J12" s="8" t="inlineStr">
        <is>
          <t>Pendente</t>
        </is>
      </c>
      <c r="K12" s="9" t="n">
        <v>0</v>
      </c>
      <c r="L12" s="10" t="n">
        <v>0</v>
      </c>
      <c r="M12" s="8" t="inlineStr">
        <is>
          <t>Não Iniciado</t>
        </is>
      </c>
      <c r="N12" s="12" t="n"/>
    </row>
    <row r="13" ht="21.95" customHeight="1" s="16">
      <c r="A13" s="6" t="inlineStr">
        <is>
          <t>DIR-EMP-01</t>
        </is>
      </c>
      <c r="B13" s="6" t="inlineStr">
        <is>
          <t>PCPE Delegado</t>
        </is>
      </c>
      <c r="C13" s="7" t="inlineStr">
        <is>
          <t>Direito Empresarial: Empresário, Sociedades Empresárias e Títulos de Crédito</t>
        </is>
      </c>
      <c r="D13" s="6" t="inlineStr">
        <is>
          <t>Fase 3 - Exclusiva Delegado</t>
        </is>
      </c>
      <c r="E13" s="8" t="n"/>
      <c r="F13" s="8" t="n"/>
      <c r="G13" s="8" t="inlineStr">
        <is>
          <t>Pendente</t>
        </is>
      </c>
      <c r="H13" s="8" t="inlineStr">
        <is>
          <t>Pendente</t>
        </is>
      </c>
      <c r="I13" s="8" t="inlineStr">
        <is>
          <t>Pendente</t>
        </is>
      </c>
      <c r="J13" s="8" t="inlineStr">
        <is>
          <t>Pendente</t>
        </is>
      </c>
      <c r="K13" s="9" t="n">
        <v>0</v>
      </c>
      <c r="L13" s="10" t="n">
        <v>0</v>
      </c>
      <c r="M13" s="8" t="inlineStr">
        <is>
          <t>Não Iniciado</t>
        </is>
      </c>
      <c r="N13" s="7" t="n"/>
    </row>
    <row r="14" ht="21.95" customHeight="1" s="16">
      <c r="A14" s="11" t="inlineStr">
        <is>
          <t>DIR-TRIB-01</t>
        </is>
      </c>
      <c r="B14" s="11" t="inlineStr">
        <is>
          <t>PCPE Delegado</t>
        </is>
      </c>
      <c r="C14" s="12" t="inlineStr">
        <is>
          <t>Direito Tributário: Tributos, Obrigação e Crédito Tributário, Sistema Tributário Nacional</t>
        </is>
      </c>
      <c r="D14" s="11" t="inlineStr">
        <is>
          <t>Fase 3 - Exclusiva Delegado</t>
        </is>
      </c>
      <c r="E14" s="8" t="n"/>
      <c r="F14" s="8" t="n"/>
      <c r="G14" s="8" t="inlineStr">
        <is>
          <t>Pendente</t>
        </is>
      </c>
      <c r="H14" s="8" t="inlineStr">
        <is>
          <t>Pendente</t>
        </is>
      </c>
      <c r="I14" s="8" t="inlineStr">
        <is>
          <t>Pendente</t>
        </is>
      </c>
      <c r="J14" s="8" t="inlineStr">
        <is>
          <t>Pendente</t>
        </is>
      </c>
      <c r="K14" s="9" t="n">
        <v>0</v>
      </c>
      <c r="L14" s="10" t="n">
        <v>0</v>
      </c>
      <c r="M14" s="8" t="inlineStr">
        <is>
          <t>Não Iniciado</t>
        </is>
      </c>
      <c r="N14" s="12" t="n"/>
    </row>
    <row r="15" ht="21.95" customHeight="1" s="16">
      <c r="A15" s="6" t="inlineStr">
        <is>
          <t>DIR-AMB-01</t>
        </is>
      </c>
      <c r="B15" s="6" t="inlineStr">
        <is>
          <t>PCPE Delegado</t>
        </is>
      </c>
      <c r="C15" s="7" t="inlineStr">
        <is>
          <t>Direito Ambiental: Princípios, Meio Ambiente na CF/88, Licenciamento e Crimes Ambientais</t>
        </is>
      </c>
      <c r="D15" s="6" t="inlineStr">
        <is>
          <t>Fase 3 - Exclusiva Delegado</t>
        </is>
      </c>
      <c r="E15" s="8" t="n"/>
      <c r="F15" s="8" t="n"/>
      <c r="G15" s="8" t="inlineStr">
        <is>
          <t>Pendente</t>
        </is>
      </c>
      <c r="H15" s="8" t="inlineStr">
        <is>
          <t>Pendente</t>
        </is>
      </c>
      <c r="I15" s="8" t="inlineStr">
        <is>
          <t>Pendente</t>
        </is>
      </c>
      <c r="J15" s="8" t="inlineStr">
        <is>
          <t>Pendente</t>
        </is>
      </c>
      <c r="K15" s="9" t="n">
        <v>0</v>
      </c>
      <c r="L15" s="10" t="n">
        <v>0</v>
      </c>
      <c r="M15" s="8" t="inlineStr">
        <is>
          <t>Não Iniciado</t>
        </is>
      </c>
      <c r="N15" s="7" t="n"/>
    </row>
    <row r="16" ht="21.95" customHeight="1" s="16">
      <c r="A16" s="11" t="inlineStr">
        <is>
          <t>PEÇA-DEL-01</t>
        </is>
      </c>
      <c r="B16" s="11" t="inlineStr">
        <is>
          <t>PCPE Delegado</t>
        </is>
      </c>
      <c r="C16" s="12" t="inlineStr">
        <is>
          <t>Peça Prático-Profissional (Representações por Prisão, Busca/Apreensão, Interceptação)</t>
        </is>
      </c>
      <c r="D16" s="11" t="inlineStr">
        <is>
          <t>Fase 3 - Exclusiva Delegado</t>
        </is>
      </c>
      <c r="E16" s="8" t="n"/>
      <c r="F16" s="8" t="n"/>
      <c r="G16" s="8" t="inlineStr">
        <is>
          <t>Pendente</t>
        </is>
      </c>
      <c r="H16" s="8" t="inlineStr">
        <is>
          <t>Pendente</t>
        </is>
      </c>
      <c r="I16" s="8" t="inlineStr">
        <is>
          <t>Pendente</t>
        </is>
      </c>
      <c r="J16" s="8" t="inlineStr">
        <is>
          <t>Pendente</t>
        </is>
      </c>
      <c r="K16" s="9" t="n">
        <v>0</v>
      </c>
      <c r="L16" s="10" t="n">
        <v>0</v>
      </c>
      <c r="M16" s="8" t="inlineStr">
        <is>
          <t>Não Iniciado</t>
        </is>
      </c>
      <c r="N16" s="12" t="n"/>
    </row>
  </sheetData>
  <mergeCells count="1">
    <mergeCell ref="A1:N1"/>
  </mergeCells>
  <dataValidations count="2">
    <dataValidation sqref="M5 M6 M7 M8 M9 M10 M11 M12 M13 M14 M15 M16 M17 M18 M19 M20 M21 M22 M23 M24 M25 M26" showDropDown="0" showInputMessage="0" showErrorMessage="0" allowBlank="1" type="list">
      <formula1>"Não Iniciado,Em Andamento,Concluído,Revisado"</formula1>
    </dataValidation>
    <dataValidation sqref="G5 G6 G7 G8 G9 G10 G11 G12 G13 G14 G15 G16 G17 G18 G19 G20 G21 G22 G23 G24 G25 G26 H5 H6 H7 H8 H9 H10 H11 H12 H13 H14 H15 H16 H17 H18 H19 H20 H21 H22 H23 H24 H25 H26 I5 I6 I7 I8 I9 I10 I11 I12 I13 I14 I15 I16 I17 I18 I19 I20 I21 I22 I23 I24 I25 I26 J5 J6 J7 J8 J9 J10 J11 J12 J13 J14 J15 J16 J17 J18 J19 J20 J21 J22 J23 J24 J25 J26" showDropDown="0" showInputMessage="0" showErrorMessage="0" allowBlank="1" type="list">
      <formula1>"Pendente,Feito,N/A"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Meta semanal (h)</t>
        </is>
      </c>
      <c r="B1" t="n">
        <v>27</v>
      </c>
    </row>
    <row r="2">
      <c r="A2" t="inlineStr">
        <is>
          <t>Início do plano</t>
        </is>
      </c>
      <c r="B2" s="22" t="n">
        <v>46321</v>
      </c>
    </row>
    <row r="4"/>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Data</t>
        </is>
      </c>
      <c r="B1" t="inlineStr">
        <is>
          <t>Matéria</t>
        </is>
      </c>
      <c r="C1" t="inlineStr">
        <is>
          <t>Cód</t>
        </is>
      </c>
      <c r="D1" t="inlineStr">
        <is>
          <t>Minutos</t>
        </is>
      </c>
      <c r="E1" t="inlineStr">
        <is>
          <t>Tipo</t>
        </is>
      </c>
    </row>
    <row r="2">
      <c r="A2" s="22" t="n">
        <v>46319</v>
      </c>
      <c r="B2" t="inlineStr">
        <is>
          <t>Dir. Constitucional &amp; DH</t>
        </is>
      </c>
      <c r="C2" t="inlineStr">
        <is>
          <t>DIR-CONST-01</t>
        </is>
      </c>
      <c r="D2" t="n">
        <v>25</v>
      </c>
      <c r="E2" t="inlineStr">
        <is>
          <t>Pomodoro</t>
        </is>
      </c>
    </row>
    <row r="3">
      <c r="A3" s="22" t="n">
        <v>46319</v>
      </c>
      <c r="B3" t="inlineStr">
        <is>
          <t>Dir. Constitucional &amp; DH</t>
        </is>
      </c>
      <c r="C3" t="inlineStr">
        <is>
          <t>DIR-CONST-01</t>
        </is>
      </c>
      <c r="D3" t="n">
        <v>60</v>
      </c>
      <c r="E3" t="inlineStr">
        <is>
          <t>Manual</t>
        </is>
      </c>
    </row>
    <row r="4">
      <c r="A4" s="22" t="n">
        <v>46320</v>
      </c>
      <c r="B4" t="inlineStr">
        <is>
          <t>Dir. Constitucional &amp; DH</t>
        </is>
      </c>
      <c r="C4" t="inlineStr">
        <is>
          <t>DIR-CONST-01</t>
        </is>
      </c>
      <c r="D4" t="n">
        <v>60</v>
      </c>
      <c r="E4" t="inlineStr">
        <is>
          <t>Manual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sheetData>
    <row r="1">
      <c r="A1" t="inlineStr">
        <is>
          <t>Data</t>
        </is>
      </c>
      <c r="B1" t="inlineStr">
        <is>
          <t>Item do plano</t>
        </is>
      </c>
      <c r="C1" t="inlineStr">
        <is>
          <t>Feito</t>
        </is>
      </c>
    </row>
    <row r="2">
      <c r="A2" s="22" t="n">
        <v>46320</v>
      </c>
      <c r="B2" t="inlineStr">
        <is>
          <t>Bloco 1 (1h30): Revisão Semanal Consolidada</t>
        </is>
      </c>
      <c r="C2" t="b">
        <v>1</v>
      </c>
    </row>
    <row r="3">
      <c r="A3" s="22" t="n">
        <v>46320</v>
      </c>
      <c r="B3" t="inlineStr">
        <is>
          <t>Bloco 2 (1h30): Organização da Próxima Semana</t>
        </is>
      </c>
      <c r="C3" t="b">
        <v>1</v>
      </c>
    </row>
    <row r="4">
      <c r="A4" s="22" t="n">
        <v>46320</v>
      </c>
      <c r="B4" t="inlineStr">
        <is>
          <t>Revisão do Dia (30min): Planejamento Semanal</t>
        </is>
      </c>
      <c r="C4" t="b">
        <v>1</v>
      </c>
    </row>
    <row r="5">
      <c r="A5" s="22" t="n">
        <v>46320</v>
      </c>
      <c r="B5" t="inlineStr">
        <is>
          <t>Meta de Questões: 20 questões</t>
        </is>
      </c>
      <c r="C5" t="b">
        <v>1</v>
      </c>
    </row>
    <row r="6">
      <c r="A6" s="22" t="n">
        <v>46320</v>
      </c>
      <c r="B6" t="inlineStr">
        <is>
          <t>Bloco 3 (1h - Exercícios): Descanso / Lazer Ativo</t>
        </is>
      </c>
      <c r="C6" t="b">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2026-10-03T15:47:34Z</dcterms:created>
  <dcterms:modified xsi:type="dcterms:W3CDTF">2026-10-25T00:12:06Z</dcterms:modified>
  <cp:lastModifiedBy>Cristiele Silva</cp:lastModifiedBy>
</cp:coreProperties>
</file>