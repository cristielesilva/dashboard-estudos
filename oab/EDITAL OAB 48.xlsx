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 e Cronograma" sheetId="1" state="visible" r:id="rId1"/>
    <sheet xmlns:r="http://schemas.openxmlformats.org/officeDocument/2006/relationships" name="Ética Profissional" sheetId="2" state="visible" r:id="rId2"/>
    <sheet xmlns:r="http://schemas.openxmlformats.org/officeDocument/2006/relationships" name="Direito Constitucional" sheetId="3" state="visible" r:id="rId3"/>
    <sheet xmlns:r="http://schemas.openxmlformats.org/officeDocument/2006/relationships" name="Direito Civil" sheetId="4" state="visible" r:id="rId4"/>
    <sheet xmlns:r="http://schemas.openxmlformats.org/officeDocument/2006/relationships" name="Processo Civil" sheetId="5" state="visible" r:id="rId5"/>
    <sheet xmlns:r="http://schemas.openxmlformats.org/officeDocument/2006/relationships" name="Direito Penal" sheetId="6" state="visible" r:id="rId6"/>
    <sheet xmlns:r="http://schemas.openxmlformats.org/officeDocument/2006/relationships" name="Processo Penal" sheetId="7" state="visible" r:id="rId7"/>
    <sheet xmlns:r="http://schemas.openxmlformats.org/officeDocument/2006/relationships" name="Direito do Trabalho" sheetId="8" state="visible" r:id="rId8"/>
    <sheet xmlns:r="http://schemas.openxmlformats.org/officeDocument/2006/relationships" name="Processo do Trabalho" sheetId="9" state="visible" r:id="rId9"/>
    <sheet xmlns:r="http://schemas.openxmlformats.org/officeDocument/2006/relationships" name="Direito Administrativo" sheetId="10" state="visible" r:id="rId10"/>
    <sheet xmlns:r="http://schemas.openxmlformats.org/officeDocument/2006/relationships" name="Direito Tributário" sheetId="11" state="visible" r:id="rId11"/>
    <sheet xmlns:r="http://schemas.openxmlformats.org/officeDocument/2006/relationships" name="Direito Empresarial" sheetId="12" state="visible" r:id="rId12"/>
    <sheet xmlns:r="http://schemas.openxmlformats.org/officeDocument/2006/relationships" name="Outras Disciplinas OAB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32" customWidth="1" min="4" max="4"/>
    <col width="60" customWidth="1" min="5" max="5"/>
  </cols>
  <sheetData>
    <row r="1">
      <c r="A1" s="1" t="inlineStr">
        <is>
          <t>EDITAL VERTICALIZADO &amp; PLANO DE ESTUDOS - 48º EXAME DE ORDEM (OAB)</t>
        </is>
      </c>
    </row>
    <row r="2">
      <c r="A2" s="2" t="inlineStr">
        <is>
          <t>Foco: 1ª Fase (Objetiva - 80 Questões | Meta: 40+ acertos) • Rotina: 2h/dia • Revisão 7d (1h/sem) • Simulados Semanalmente</t>
        </is>
      </c>
    </row>
    <row r="4">
      <c r="A4" s="3" t="inlineStr">
        <is>
          <t>DIRETRIZES DA PREPARAÇÃO</t>
        </is>
      </c>
    </row>
    <row r="5">
      <c r="A5" s="4" t="inlineStr">
        <is>
          <t>Meta de Acertos:</t>
        </is>
      </c>
      <c r="B5" s="5" t="inlineStr">
        <is>
          <t>40 de 80 questões (50% de aproveitamento)</t>
        </is>
      </c>
    </row>
    <row r="6">
      <c r="A6" s="4" t="inlineStr">
        <is>
          <t>Carga Horária Diária:</t>
        </is>
      </c>
      <c r="B6" s="5" t="inlineStr">
        <is>
          <t>2 horas por dia (Segunda a Sexta-feira)</t>
        </is>
      </c>
    </row>
    <row r="7">
      <c r="A7" s="4" t="inlineStr">
        <is>
          <t>Ciclo de Revisão:</t>
        </is>
      </c>
      <c r="B7" s="5" t="inlineStr">
        <is>
          <t>A cada 7 dias (1 hora aos Sábados para revisão do conteúdo semanal)</t>
        </is>
      </c>
    </row>
    <row r="8">
      <c r="A8" s="4" t="inlineStr">
        <is>
          <t>Prática de Simulados:</t>
        </is>
      </c>
      <c r="B8" s="5" t="inlineStr">
        <is>
          <t>Semanalmente (Aos Domingos - 80 questões + revisão do gabarito)</t>
        </is>
      </c>
    </row>
    <row r="9">
      <c r="A9" s="4" t="inlineStr">
        <is>
          <t>Estratégia Principal:</t>
        </is>
      </c>
      <c r="B9" s="5" t="inlineStr">
        <is>
          <t>Priorizar matérias do Grupo A (maior peso/número de questões na prova)</t>
        </is>
      </c>
    </row>
    <row r="11">
      <c r="A11" s="3" t="inlineStr">
        <is>
          <t>DISTRIBUIÇÃO DE QUESTÕES E RELEVÂNCIA DAS MATÉRIAS (48º EOU)</t>
        </is>
      </c>
    </row>
    <row r="12">
      <c r="A12" s="6" t="inlineStr">
        <is>
          <t>Grupo / Relevância</t>
        </is>
      </c>
      <c r="B12" s="6" t="inlineStr">
        <is>
          <t>Disciplina</t>
        </is>
      </c>
      <c r="C12" s="6" t="inlineStr">
        <is>
          <t>Qtd. Questões</t>
        </is>
      </c>
      <c r="D12" s="6" t="inlineStr">
        <is>
          <t>Peso Relativo (%)</t>
        </is>
      </c>
      <c r="E12" s="6" t="inlineStr">
        <is>
          <t>Meta de Acertos Sugerida</t>
        </is>
      </c>
    </row>
    <row r="13">
      <c r="A13" s="7" t="inlineStr">
        <is>
          <t>Grupo A (Alta Relevância)</t>
        </is>
      </c>
      <c r="B13" s="7" t="inlineStr">
        <is>
          <t>Estatuto da OAB e Ética Profissional</t>
        </is>
      </c>
      <c r="C13" s="8" t="n">
        <v>8</v>
      </c>
      <c r="D13" s="9">
        <f>C13/80</f>
        <v/>
      </c>
      <c r="E13" s="8" t="n">
        <v>7</v>
      </c>
    </row>
    <row r="14">
      <c r="A14" s="7" t="inlineStr">
        <is>
          <t>Grupo A (Alta Relevância)</t>
        </is>
      </c>
      <c r="B14" s="7" t="inlineStr">
        <is>
          <t>Direito Constitucional</t>
        </is>
      </c>
      <c r="C14" s="8" t="n">
        <v>6</v>
      </c>
      <c r="D14" s="9">
        <f>C14/80</f>
        <v/>
      </c>
      <c r="E14" s="8" t="n">
        <v>4</v>
      </c>
    </row>
    <row r="15">
      <c r="A15" s="7" t="inlineStr">
        <is>
          <t>Grupo A (Alta Relevância)</t>
        </is>
      </c>
      <c r="B15" s="7" t="inlineStr">
        <is>
          <t>Direito Civil</t>
        </is>
      </c>
      <c r="C15" s="8" t="n">
        <v>6</v>
      </c>
      <c r="D15" s="9">
        <f>C15/80</f>
        <v/>
      </c>
      <c r="E15" s="8" t="n">
        <v>4</v>
      </c>
    </row>
    <row r="16">
      <c r="A16" s="7" t="inlineStr">
        <is>
          <t>Grupo A (Alta Relevância)</t>
        </is>
      </c>
      <c r="B16" s="7" t="inlineStr">
        <is>
          <t>Direito Processual Civil</t>
        </is>
      </c>
      <c r="C16" s="8" t="n">
        <v>6</v>
      </c>
      <c r="D16" s="9">
        <f>C16/80</f>
        <v/>
      </c>
      <c r="E16" s="8" t="n">
        <v>4</v>
      </c>
    </row>
    <row r="17">
      <c r="A17" s="7" t="inlineStr">
        <is>
          <t>Grupo A (Alta Relevância)</t>
        </is>
      </c>
      <c r="B17" s="7" t="inlineStr">
        <is>
          <t>Direito Penal</t>
        </is>
      </c>
      <c r="C17" s="8" t="n">
        <v>6</v>
      </c>
      <c r="D17" s="9">
        <f>C17/80</f>
        <v/>
      </c>
      <c r="E17" s="8" t="n">
        <v>4</v>
      </c>
    </row>
    <row r="18">
      <c r="A18" s="7" t="inlineStr">
        <is>
          <t>Grupo A (Alta Relevância)</t>
        </is>
      </c>
      <c r="B18" s="7" t="inlineStr">
        <is>
          <t>Direito Processual Penal</t>
        </is>
      </c>
      <c r="C18" s="8" t="n">
        <v>6</v>
      </c>
      <c r="D18" s="9">
        <f>C18/80</f>
        <v/>
      </c>
      <c r="E18" s="8" t="n">
        <v>4</v>
      </c>
    </row>
    <row r="19">
      <c r="A19" s="7" t="inlineStr">
        <is>
          <t>Grupo A (Alta Relevância)</t>
        </is>
      </c>
      <c r="B19" s="7" t="inlineStr">
        <is>
          <t>Direito do Trabalho</t>
        </is>
      </c>
      <c r="C19" s="8" t="n">
        <v>5</v>
      </c>
      <c r="D19" s="9">
        <f>C19/80</f>
        <v/>
      </c>
      <c r="E19" s="8" t="n">
        <v>4</v>
      </c>
    </row>
    <row r="20">
      <c r="A20" s="7" t="inlineStr">
        <is>
          <t>Grupo A (Alta Relevância)</t>
        </is>
      </c>
      <c r="B20" s="7" t="inlineStr">
        <is>
          <t>Direito Processual do Trabalho</t>
        </is>
      </c>
      <c r="C20" s="8" t="n">
        <v>5</v>
      </c>
      <c r="D20" s="9">
        <f>C20/80</f>
        <v/>
      </c>
      <c r="E20" s="8" t="n">
        <v>4</v>
      </c>
    </row>
    <row r="21">
      <c r="A21" s="7" t="inlineStr">
        <is>
          <t>Grupo A (Alta Relevância)</t>
        </is>
      </c>
      <c r="B21" s="7" t="inlineStr">
        <is>
          <t>Direito Administrativo</t>
        </is>
      </c>
      <c r="C21" s="8" t="n">
        <v>6</v>
      </c>
      <c r="D21" s="9">
        <f>C21/80</f>
        <v/>
      </c>
      <c r="E21" s="8" t="n">
        <v>4</v>
      </c>
    </row>
    <row r="22">
      <c r="A22" s="7" t="inlineStr">
        <is>
          <t>Grupo B (Média/Baixa Relevância)</t>
        </is>
      </c>
      <c r="B22" s="7" t="inlineStr">
        <is>
          <t>Direito Tributário</t>
        </is>
      </c>
      <c r="C22" s="8" t="n">
        <v>5</v>
      </c>
      <c r="D22" s="9">
        <f>C22/80</f>
        <v/>
      </c>
      <c r="E22" s="8" t="n">
        <v>3</v>
      </c>
    </row>
    <row r="23">
      <c r="A23" s="7" t="inlineStr">
        <is>
          <t>Grupo B (Média/Baixa Relevância)</t>
        </is>
      </c>
      <c r="B23" s="7" t="inlineStr">
        <is>
          <t>Direito Empresarial</t>
        </is>
      </c>
      <c r="C23" s="8" t="n">
        <v>4</v>
      </c>
      <c r="D23" s="9">
        <f>C23/80</f>
        <v/>
      </c>
      <c r="E23" s="8" t="n">
        <v>2</v>
      </c>
    </row>
    <row r="24">
      <c r="A24" s="7" t="inlineStr">
        <is>
          <t>Grupo B (Média/Baixa Relevância)</t>
        </is>
      </c>
      <c r="B24" s="7" t="inlineStr">
        <is>
          <t>Direitos Humanos</t>
        </is>
      </c>
      <c r="C24" s="8" t="n">
        <v>2</v>
      </c>
      <c r="D24" s="9">
        <f>C24/80</f>
        <v/>
      </c>
      <c r="E24" s="8" t="n">
        <v>1</v>
      </c>
    </row>
    <row r="25">
      <c r="A25" s="7" t="inlineStr">
        <is>
          <t>Grupo B (Média/Baixa Relevância)</t>
        </is>
      </c>
      <c r="B25" s="7" t="inlineStr">
        <is>
          <t>Direito Internacional</t>
        </is>
      </c>
      <c r="C25" s="8" t="n">
        <v>2</v>
      </c>
      <c r="D25" s="9">
        <f>C25/80</f>
        <v/>
      </c>
      <c r="E25" s="8" t="n">
        <v>1</v>
      </c>
    </row>
    <row r="26">
      <c r="A26" s="7" t="inlineStr">
        <is>
          <t>Grupo B (Média/Baixa Relevância)</t>
        </is>
      </c>
      <c r="B26" s="7" t="inlineStr">
        <is>
          <t>Direito do Consumidor</t>
        </is>
      </c>
      <c r="C26" s="8" t="n">
        <v>2</v>
      </c>
      <c r="D26" s="9">
        <f>C26/80</f>
        <v/>
      </c>
      <c r="E26" s="8" t="n">
        <v>1</v>
      </c>
    </row>
    <row r="27">
      <c r="A27" s="7" t="inlineStr">
        <is>
          <t>Grupo B (Média/Baixa Relevância)</t>
        </is>
      </c>
      <c r="B27" s="7" t="inlineStr">
        <is>
          <t>Direito Ambiental</t>
        </is>
      </c>
      <c r="C27" s="8" t="n">
        <v>2</v>
      </c>
      <c r="D27" s="9">
        <f>C27/80</f>
        <v/>
      </c>
      <c r="E27" s="8" t="n">
        <v>1</v>
      </c>
    </row>
    <row r="28">
      <c r="A28" s="7" t="inlineStr">
        <is>
          <t>Grupo B (Média/Baixa Relevância)</t>
        </is>
      </c>
      <c r="B28" s="7" t="inlineStr">
        <is>
          <t>Filosofia do Direito</t>
        </is>
      </c>
      <c r="C28" s="8" t="n">
        <v>2</v>
      </c>
      <c r="D28" s="9">
        <f>C28/80</f>
        <v/>
      </c>
      <c r="E28" s="8" t="n">
        <v>1</v>
      </c>
    </row>
    <row r="29">
      <c r="A29" s="7" t="inlineStr">
        <is>
          <t>Grupo B (Média/Baixa Relevância)</t>
        </is>
      </c>
      <c r="B29" s="7" t="inlineStr">
        <is>
          <t>Estatuto da Criança e do Adolescente (ECA)</t>
        </is>
      </c>
      <c r="C29" s="8" t="n">
        <v>2</v>
      </c>
      <c r="D29" s="9">
        <f>C29/80</f>
        <v/>
      </c>
      <c r="E29" s="8" t="n">
        <v>1</v>
      </c>
    </row>
    <row r="30">
      <c r="A30" s="7" t="inlineStr">
        <is>
          <t>Grupo B (Média/Baixa Relevância)</t>
        </is>
      </c>
      <c r="B30" s="7" t="inlineStr">
        <is>
          <t>Direito Financeiro</t>
        </is>
      </c>
      <c r="C30" s="8" t="n">
        <v>2</v>
      </c>
      <c r="D30" s="9">
        <f>C30/80</f>
        <v/>
      </c>
      <c r="E30" s="8" t="n">
        <v>1</v>
      </c>
    </row>
    <row r="31">
      <c r="A31" s="7" t="inlineStr">
        <is>
          <t>Grupo B (Média/Baixa Relevância)</t>
        </is>
      </c>
      <c r="B31" s="7" t="inlineStr">
        <is>
          <t>Direito Previdenciário</t>
        </is>
      </c>
      <c r="C31" s="8" t="n">
        <v>2</v>
      </c>
      <c r="D31" s="9">
        <f>C31/80</f>
        <v/>
      </c>
      <c r="E31" s="8" t="n">
        <v>1</v>
      </c>
    </row>
    <row r="32">
      <c r="A32" s="7" t="inlineStr">
        <is>
          <t>Grupo B (Média/Baixa Relevância)</t>
        </is>
      </c>
      <c r="B32" s="7" t="inlineStr">
        <is>
          <t>Direito Eleitoral</t>
        </is>
      </c>
      <c r="C32" s="8" t="n">
        <v>2</v>
      </c>
      <c r="D32" s="9">
        <f>C32/80</f>
        <v/>
      </c>
      <c r="E32" s="8" t="n">
        <v>1</v>
      </c>
    </row>
    <row r="33">
      <c r="A33" s="10" t="inlineStr">
        <is>
          <t>TOTAL PROVA OBJETIVA</t>
        </is>
      </c>
      <c r="B33" s="10" t="inlineStr">
        <is>
          <t>20 Disciplinas</t>
        </is>
      </c>
      <c r="C33" s="11">
        <f>SUM(C13:C32)</f>
        <v/>
      </c>
      <c r="D33" s="12">
        <f>SUM(D13:D32)</f>
        <v/>
      </c>
      <c r="E33" s="13">
        <f>SUM(E13:E32)</f>
        <v/>
      </c>
    </row>
    <row r="36">
      <c r="A36" s="3" t="inlineStr">
        <is>
          <t>CRONOGRAMA SEMANAL ESTRUTURADO (2h/DIA + REVISÃO + SIMULADOS)</t>
        </is>
      </c>
    </row>
    <row r="37">
      <c r="A37" s="6" t="inlineStr">
        <is>
          <t>Dia da Semana</t>
        </is>
      </c>
      <c r="B37" s="6" t="inlineStr">
        <is>
          <t>Tempo Total</t>
        </is>
      </c>
      <c r="C37" s="6" t="inlineStr">
        <is>
          <t>Bloco 1 (1 hora)</t>
        </is>
      </c>
      <c r="D37" s="6" t="inlineStr">
        <is>
          <t>Bloco 2 (1 hora)</t>
        </is>
      </c>
      <c r="E37" s="6" t="inlineStr">
        <is>
          <t>Foco &amp; Orientações</t>
        </is>
      </c>
    </row>
    <row r="38">
      <c r="A38" s="10" t="inlineStr">
        <is>
          <t>Segunda-feira</t>
        </is>
      </c>
      <c r="B38" s="8" t="inlineStr">
        <is>
          <t>2 horas</t>
        </is>
      </c>
      <c r="C38" s="7" t="inlineStr">
        <is>
          <t>Ética Profissional (Estatuto/Código)</t>
        </is>
      </c>
      <c r="D38" s="7" t="inlineStr">
        <is>
          <t>Direito Constitucional</t>
        </is>
      </c>
      <c r="E38" s="7" t="inlineStr">
        <is>
          <t>Grupo A: Ênfase em Ética (8 questões) + Controle de Constitucionalidade/Direitos Fundamentais</t>
        </is>
      </c>
    </row>
    <row r="39">
      <c r="A39" s="10" t="inlineStr">
        <is>
          <t>Terça-feira</t>
        </is>
      </c>
      <c r="B39" s="8" t="inlineStr">
        <is>
          <t>2 horas</t>
        </is>
      </c>
      <c r="C39" s="7" t="inlineStr">
        <is>
          <t>Direito Civil</t>
        </is>
      </c>
      <c r="D39" s="7" t="inlineStr">
        <is>
          <t>Direito Processual Civil</t>
        </is>
      </c>
      <c r="E39" s="7" t="inlineStr">
        <is>
          <t>Grupo A: Obrigações/Contratos/Família + Recursos/Execução/Procedimento Comum</t>
        </is>
      </c>
    </row>
    <row r="40">
      <c r="A40" s="10" t="inlineStr">
        <is>
          <t>Quarta-feira</t>
        </is>
      </c>
      <c r="B40" s="8" t="inlineStr">
        <is>
          <t>2 horas</t>
        </is>
      </c>
      <c r="C40" s="7" t="inlineStr">
        <is>
          <t>Direito Penal</t>
        </is>
      </c>
      <c r="D40" s="7" t="inlineStr">
        <is>
          <t>Direito Processual Penal</t>
        </is>
      </c>
      <c r="E40" s="7" t="inlineStr">
        <is>
          <t>Grupo A: Teoria do Delito/Penas/Crimes + Prisão/Provas/Inquérito/Recursos</t>
        </is>
      </c>
    </row>
    <row r="41">
      <c r="A41" s="10" t="inlineStr">
        <is>
          <t>Quinta-feira</t>
        </is>
      </c>
      <c r="B41" s="8" t="inlineStr">
        <is>
          <t>2 horas</t>
        </is>
      </c>
      <c r="C41" s="7" t="inlineStr">
        <is>
          <t>Direito do Trabalho</t>
        </is>
      </c>
      <c r="D41" s="7" t="inlineStr">
        <is>
          <t>Direito Processual do Trabalho</t>
        </is>
      </c>
      <c r="E41" s="7" t="inlineStr">
        <is>
          <t>Grupo A: Relação de Emprego/Jornada/Rescisão + Prática Trabalhista/Audiência/Recursos</t>
        </is>
      </c>
    </row>
    <row r="42">
      <c r="A42" s="10" t="inlineStr">
        <is>
          <t>Sexta-feira</t>
        </is>
      </c>
      <c r="B42" s="8" t="inlineStr">
        <is>
          <t>2 horas</t>
        </is>
      </c>
      <c r="C42" s="7" t="inlineStr">
        <is>
          <t>Direito Administrativo</t>
        </is>
      </c>
      <c r="D42" s="7" t="inlineStr">
        <is>
          <t>Giro Grupo B (Tributário / Empresarial)</t>
        </is>
      </c>
      <c r="E42" s="7" t="inlineStr">
        <is>
          <t>Grupo A + B: Licitações/Agentes/Improbidade + Legislação Tributária ou Societário</t>
        </is>
      </c>
    </row>
    <row r="43">
      <c r="A43" s="10" t="inlineStr">
        <is>
          <t>Sábado</t>
        </is>
      </c>
      <c r="B43" s="8" t="inlineStr">
        <is>
          <t>2 horas</t>
        </is>
      </c>
      <c r="C43" s="7" t="inlineStr">
        <is>
          <t>Revisão de 7 Dias (Matérias da Semana)</t>
        </is>
      </c>
      <c r="D43" s="7" t="inlineStr">
        <is>
          <t>Resolução de Questões de Fixação</t>
        </is>
      </c>
      <c r="E43" s="7" t="inlineStr">
        <is>
          <t>Ciclo de Revisão Semanal Obrigatorio (1h de revisão ativa + 1h treinando questões)</t>
        </is>
      </c>
    </row>
    <row r="44">
      <c r="A44" s="10" t="inlineStr">
        <is>
          <t>Domingo</t>
        </is>
      </c>
      <c r="B44" s="8" t="inlineStr">
        <is>
          <t>2h a 5h</t>
        </is>
      </c>
      <c r="C44" s="7" t="inlineStr">
        <is>
          <t>Simulado Semanal (80 Questões OAB)</t>
        </is>
      </c>
      <c r="D44" s="7" t="inlineStr">
        <is>
          <t>Análise do Gabarito &amp; Caderno de Erros</t>
        </is>
      </c>
      <c r="E44" s="7" t="inlineStr">
        <is>
          <t>Treino de tempo de prova, identificação de lacunas e diagnóstico de desempenho</t>
        </is>
      </c>
    </row>
  </sheetData>
  <mergeCells count="8">
    <mergeCell ref="B5:D5"/>
    <mergeCell ref="A4:D4"/>
    <mergeCell ref="B8:D8"/>
    <mergeCell ref="A11:E11"/>
    <mergeCell ref="B9:D9"/>
    <mergeCell ref="A36:E36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ÉTICA PROFISSIONAL</t>
        </is>
      </c>
    </row>
    <row r="2">
      <c r="A2" s="2" t="inlineStr">
        <is>
          <t>Classificação: Grupo A (8 questões) • Código: ETI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COUNTA(B9:B16)</f>
        <v/>
      </c>
      <c r="C5" s="10" t="inlineStr">
        <is>
          <t>Concluídos:</t>
        </is>
      </c>
      <c r="D5" s="11">
        <f>COUNTIF(C9:C16, "Estudado") + COUNTIF(C9:C16, "Revisado (7d)") + COUNTIF(C9:C16,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IFERROR(SUM(G9:G16)/SUM(F9:F16),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ETI.01</t>
        </is>
      </c>
      <c r="B9" s="17" t="inlineStr">
        <is>
          <t>Estatuto da Advocacia e da OAB (Lei 8.906/1994): Direitos e Prerrogativas do Advogado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ETI.02</t>
        </is>
      </c>
      <c r="B10" s="17" t="inlineStr">
        <is>
          <t>Inscrição na OAB, Cancelamento e Licenciamento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ETI.03</t>
        </is>
      </c>
      <c r="B11" s="17" t="inlineStr">
        <is>
          <t>Sociedade de Advogados e Advogado Empregado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ETI.04</t>
        </is>
      </c>
      <c r="B12" s="17" t="inlineStr">
        <is>
          <t>Honorários Advocatícios (Contratuais, Sucumbenciais e Arbitrados)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ETI.05</t>
        </is>
      </c>
      <c r="B13" s="17" t="inlineStr">
        <is>
          <t>Incompatibilidades e Impedimentos ao Exercício da Advocacia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ETI.06</t>
        </is>
      </c>
      <c r="B14" s="17" t="inlineStr">
        <is>
          <t>Infrações e Processo Disciplinar perante a OAB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ETI.07</t>
        </is>
      </c>
      <c r="B15" s="17" t="inlineStr">
        <is>
          <t>Código de Ética e Disciplina da OAB: Deveres Éticos e Publicidade na Advocacia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ETI.08</t>
        </is>
      </c>
      <c r="B16" s="17" t="inlineStr">
        <is>
          <t>Regulamento Geral da OAB e Órgãos da OAB (Conselho Federal, Seccionais, Subseções e CAA)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DIREITO CONSTITUCIONAL</t>
        </is>
      </c>
    </row>
    <row r="2">
      <c r="A2" s="2" t="inlineStr">
        <is>
          <t>Classificação: Grupo A (6 questões) • Código: CRFB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COUNTA(B9:B22)</f>
        <v/>
      </c>
      <c r="C5" s="10" t="inlineStr">
        <is>
          <t>Concluídos:</t>
        </is>
      </c>
      <c r="D5" s="11">
        <f>COUNTIF(C9:C22, "Estudado") + COUNTIF(C9:C22, "Revisado (7d)") + COUNTIF(C9:C22,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IFERROR(SUM(G9:G22)/SUM(F9:F22),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CRFB.01</t>
        </is>
      </c>
      <c r="B9" s="17" t="inlineStr">
        <is>
          <t>1. Constituição: conceito, classificação e elementos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CRFB.02</t>
        </is>
      </c>
      <c r="B10" s="17" t="inlineStr">
        <is>
          <t>2. Aplicabilidade e eficácia das normas constitucionais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CRFB.03</t>
        </is>
      </c>
      <c r="B11" s="17" t="inlineStr">
        <is>
          <t>3. Histórico das Constituições Brasileiras e Neoconstitucionalismo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CRFB.04</t>
        </is>
      </c>
      <c r="B12" s="17" t="inlineStr">
        <is>
          <t>4. Do Poder Constituinte: originário, derivado e decorrente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CRFB.05</t>
        </is>
      </c>
      <c r="B13" s="17" t="inlineStr">
        <is>
          <t>5. Interpretação do texto constitucional e princípios fundamentais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CRFB.06</t>
        </is>
      </c>
      <c r="B14" s="17" t="inlineStr">
        <is>
          <t>6. Controle de Constitucionalidade: ADI, ADC, ADO, ADPF e Súmula Vinculante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CRFB.07</t>
        </is>
      </c>
      <c r="B15" s="17" t="inlineStr">
        <is>
          <t>7. Direitos e Garantias Fundamentais e Direitos Sociais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CRFB.08</t>
        </is>
      </c>
      <c r="B16" s="17" t="inlineStr">
        <is>
          <t>8. Tutela Constitucional das Liberdades: HC, HD, MS, MI, Ação Popular e ACP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CRFB.09</t>
        </is>
      </c>
      <c r="B17" s="17" t="inlineStr">
        <is>
          <t>9. Nacionalidade e Direitos Políticos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CRFB.10</t>
        </is>
      </c>
      <c r="B18" s="17" t="inlineStr">
        <is>
          <t>10. Organização do Estado: União, Estados, DF, Municípios e Intervenção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  <row r="19">
      <c r="A19" s="16" t="inlineStr">
        <is>
          <t>CRFB.11</t>
        </is>
      </c>
      <c r="B19" s="17" t="inlineStr">
        <is>
          <t>11. Organização dos Poderes: Poder Legislativo e Processo Legislativo</t>
        </is>
      </c>
      <c r="C19" s="18" t="inlineStr">
        <is>
          <t>Não Iniciado</t>
        </is>
      </c>
      <c r="D19" s="19" t="inlineStr"/>
      <c r="E19" s="19" t="inlineStr">
        <is>
          <t>Pendente</t>
        </is>
      </c>
      <c r="F19" s="19" t="n">
        <v>0</v>
      </c>
      <c r="G19" s="19" t="n">
        <v>0</v>
      </c>
      <c r="H19" s="20">
        <f>IFERROR(G19/F19, 0)</f>
        <v/>
      </c>
      <c r="I19" s="21" t="inlineStr"/>
    </row>
    <row r="20">
      <c r="A20" s="16" t="inlineStr">
        <is>
          <t>CRFB.12</t>
        </is>
      </c>
      <c r="B20" s="17" t="inlineStr">
        <is>
          <t>12. Poder Executivo e Poder Judiciário</t>
        </is>
      </c>
      <c r="C20" s="18" t="inlineStr">
        <is>
          <t>Não Iniciado</t>
        </is>
      </c>
      <c r="D20" s="19" t="inlineStr"/>
      <c r="E20" s="19" t="inlineStr">
        <is>
          <t>Pendente</t>
        </is>
      </c>
      <c r="F20" s="19" t="n">
        <v>0</v>
      </c>
      <c r="G20" s="19" t="n">
        <v>0</v>
      </c>
      <c r="H20" s="20">
        <f>IFERROR(G20/F20, 0)</f>
        <v/>
      </c>
      <c r="I20" s="21" t="inlineStr"/>
    </row>
    <row r="21">
      <c r="A21" s="16" t="inlineStr">
        <is>
          <t>CRFB.13</t>
        </is>
      </c>
      <c r="B21" s="17" t="inlineStr">
        <is>
          <t>13. Funções Essenciais à Justiça e Defesa do Estado/Instituições Democráticas</t>
        </is>
      </c>
      <c r="C21" s="18" t="inlineStr">
        <is>
          <t>Não Iniciado</t>
        </is>
      </c>
      <c r="D21" s="19" t="inlineStr"/>
      <c r="E21" s="19" t="inlineStr">
        <is>
          <t>Pendente</t>
        </is>
      </c>
      <c r="F21" s="19" t="n">
        <v>0</v>
      </c>
      <c r="G21" s="19" t="n">
        <v>0</v>
      </c>
      <c r="H21" s="20">
        <f>IFERROR(G21/F21, 0)</f>
        <v/>
      </c>
      <c r="I21" s="21" t="inlineStr"/>
    </row>
    <row r="22">
      <c r="A22" s="16" t="inlineStr">
        <is>
          <t>CRFB.14</t>
        </is>
      </c>
      <c r="B22" s="17" t="inlineStr">
        <is>
          <t>14. Ordem Econômica, Financeira e Ordem Social</t>
        </is>
      </c>
      <c r="C22" s="18" t="inlineStr">
        <is>
          <t>Não Iniciado</t>
        </is>
      </c>
      <c r="D22" s="19" t="inlineStr"/>
      <c r="E22" s="19" t="inlineStr">
        <is>
          <t>Pendente</t>
        </is>
      </c>
      <c r="F22" s="19" t="n">
        <v>0</v>
      </c>
      <c r="G22" s="19" t="n">
        <v>0</v>
      </c>
      <c r="H22" s="20">
        <f>IFERROR(G22/F22, 0)</f>
        <v/>
      </c>
      <c r="I22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DIREITO CIVIL</t>
        </is>
      </c>
    </row>
    <row r="2">
      <c r="A2" s="2" t="inlineStr">
        <is>
          <t>Classificação: Grupo A (6 questões) • Código: CIV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COUNTA(B9:B22)</f>
        <v/>
      </c>
      <c r="C5" s="10" t="inlineStr">
        <is>
          <t>Concluídos:</t>
        </is>
      </c>
      <c r="D5" s="11">
        <f>COUNTIF(C9:C22, "Estudado") + COUNTIF(C9:C22, "Revisado (7d)") + COUNTIF(C9:C22,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IFERROR(SUM(G9:G22)/SUM(F9:F22),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CIV.01</t>
        </is>
      </c>
      <c r="B9" s="17" t="inlineStr">
        <is>
          <t>1. LIND B e Direito Civil Constitucional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CIV.02</t>
        </is>
      </c>
      <c r="B10" s="17" t="inlineStr">
        <is>
          <t>2. Pessoa Natural, Direitos da Personalidade e LGPD (Lei 13.709/2018)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CIV.03</t>
        </is>
      </c>
      <c r="B11" s="17" t="inlineStr">
        <is>
          <t>3. Pessoa Jurídica, Domicílio e Bens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CIV.04</t>
        </is>
      </c>
      <c r="B12" s="17" t="inlineStr">
        <is>
          <t>4. Fatos, Atos e Negócios Jurídicos: validade, eficácia, defeitos e atos ilícitos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CIV.05</t>
        </is>
      </c>
      <c r="B13" s="17" t="inlineStr">
        <is>
          <t>5. Prescrição e Decadência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CIV.06</t>
        </is>
      </c>
      <c r="B14" s="17" t="inlineStr">
        <is>
          <t>6. Teoria Geral das Obrigações: modalidades, transmissão, adimplemento e inadimplemento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CIV.07</t>
        </is>
      </c>
      <c r="B15" s="17" t="inlineStr">
        <is>
          <t>7. Títulos de Crédito no Código Civil e Atos Unilaterais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CIV.08</t>
        </is>
      </c>
      <c r="B16" s="17" t="inlineStr">
        <is>
          <t>8. Teoria Geral dos Contratos e Contratos em Espécie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CIV.09</t>
        </is>
      </c>
      <c r="B17" s="17" t="inlineStr">
        <is>
          <t>9. Teoria da Responsabilidade Civil e Reparação de Danos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CIV.10</t>
        </is>
      </c>
      <c r="B18" s="17" t="inlineStr">
        <is>
          <t>10. Posse e Propriedade e Direitos Reais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  <row r="19">
      <c r="A19" s="16" t="inlineStr">
        <is>
          <t>CIV.11</t>
        </is>
      </c>
      <c r="B19" s="17" t="inlineStr">
        <is>
          <t>11. Direito de Família: Casamento, União Estável, Parentesco e Poder Familiar</t>
        </is>
      </c>
      <c r="C19" s="18" t="inlineStr">
        <is>
          <t>Não Iniciado</t>
        </is>
      </c>
      <c r="D19" s="19" t="inlineStr"/>
      <c r="E19" s="19" t="inlineStr">
        <is>
          <t>Pendente</t>
        </is>
      </c>
      <c r="F19" s="19" t="n">
        <v>0</v>
      </c>
      <c r="G19" s="19" t="n">
        <v>0</v>
      </c>
      <c r="H19" s="20">
        <f>IFERROR(G19/F19, 0)</f>
        <v/>
      </c>
      <c r="I19" s="21" t="inlineStr"/>
    </row>
    <row r="20">
      <c r="A20" s="16" t="inlineStr">
        <is>
          <t>CIV.12</t>
        </is>
      </c>
      <c r="B20" s="17" t="inlineStr">
        <is>
          <t>12. Regimes de Bens, Alimentos, Tutela, Curatela e Tomada de Decisão Apoiada</t>
        </is>
      </c>
      <c r="C20" s="18" t="inlineStr">
        <is>
          <t>Não Iniciado</t>
        </is>
      </c>
      <c r="D20" s="19" t="inlineStr"/>
      <c r="E20" s="19" t="inlineStr">
        <is>
          <t>Pendente</t>
        </is>
      </c>
      <c r="F20" s="19" t="n">
        <v>0</v>
      </c>
      <c r="G20" s="19" t="n">
        <v>0</v>
      </c>
      <c r="H20" s="20">
        <f>IFERROR(G20/F20, 0)</f>
        <v/>
      </c>
      <c r="I20" s="21" t="inlineStr"/>
    </row>
    <row r="21">
      <c r="A21" s="16" t="inlineStr">
        <is>
          <t>CIV.13</t>
        </is>
      </c>
      <c r="B21" s="17" t="inlineStr">
        <is>
          <t>13. Direito das Sucessões: sucessão legítima, testamentária, inventário e partilha</t>
        </is>
      </c>
      <c r="C21" s="18" t="inlineStr">
        <is>
          <t>Não Iniciado</t>
        </is>
      </c>
      <c r="D21" s="19" t="inlineStr"/>
      <c r="E21" s="19" t="inlineStr">
        <is>
          <t>Pendente</t>
        </is>
      </c>
      <c r="F21" s="19" t="n">
        <v>0</v>
      </c>
      <c r="G21" s="19" t="n">
        <v>0</v>
      </c>
      <c r="H21" s="20">
        <f>IFERROR(G21/F21, 0)</f>
        <v/>
      </c>
      <c r="I21" s="21" t="inlineStr"/>
    </row>
    <row r="22">
      <c r="A22" s="16" t="inlineStr">
        <is>
          <t>CIV.14</t>
        </is>
      </c>
      <c r="B22" s="17" t="inlineStr">
        <is>
          <t>14. Código de Defesa do Consumidor (Lei 8.078/1990) nas relações civis</t>
        </is>
      </c>
      <c r="C22" s="18" t="inlineStr">
        <is>
          <t>Não Iniciado</t>
        </is>
      </c>
      <c r="D22" s="19" t="inlineStr"/>
      <c r="E22" s="19" t="inlineStr">
        <is>
          <t>Pendente</t>
        </is>
      </c>
      <c r="F22" s="19" t="n">
        <v>0</v>
      </c>
      <c r="G22" s="19" t="n">
        <v>0</v>
      </c>
      <c r="H22" s="20">
        <f>IFERROR(G22/F22, 0)</f>
        <v/>
      </c>
      <c r="I22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PROCESSO CIVIL</t>
        </is>
      </c>
    </row>
    <row r="2">
      <c r="A2" s="2" t="inlineStr">
        <is>
          <t>Classificação: Grupo A (6 questões) • Código: CPC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COUNTA(B9:B23)</f>
        <v/>
      </c>
      <c r="C5" s="10" t="inlineStr">
        <is>
          <t>Concluídos:</t>
        </is>
      </c>
      <c r="D5" s="11">
        <f>COUNTIF(C9:C23, "Estudado") + COUNTIF(C9:C23, "Revisado (7d)") + COUNTIF(C9:C23,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IFERROR(SUM(G9:G23)/SUM(F9:F23),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CPC.01</t>
        </is>
      </c>
      <c r="B9" s="17" t="inlineStr">
        <is>
          <t>1. Teoria Geral do Processo, normas fundamentais e aplicação do CPC/2015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CPC.02</t>
        </is>
      </c>
      <c r="B10" s="17" t="inlineStr">
        <is>
          <t>2. Conciliação, Mediação e Arbitragem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CPC.03</t>
        </is>
      </c>
      <c r="B11" s="17" t="inlineStr">
        <is>
          <t>3. Jurisdição, Ação, Pressupostos Processuais e Competência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CPC.04</t>
        </is>
      </c>
      <c r="B12" s="17" t="inlineStr">
        <is>
          <t>4. Sujeitos do Processo, Litisconsórcio e Intervenção de Terceiros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CPC.05</t>
        </is>
      </c>
      <c r="B13" s="17" t="inlineStr">
        <is>
          <t>5. Juiz, Auxiliares da Justiça e Funções Essenciais à Justiça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CPC.06</t>
        </is>
      </c>
      <c r="B14" s="17" t="inlineStr">
        <is>
          <t>6. Atos Processuais, Prazos, Citação e Intimações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CPC.07</t>
        </is>
      </c>
      <c r="B15" s="17" t="inlineStr">
        <is>
          <t>7. Tutela Provisória (Urgência e Evidência)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CPC.08</t>
        </is>
      </c>
      <c r="B16" s="17" t="inlineStr">
        <is>
          <t>8. Procedimento Comum: Petição Inicial, Improcedência Liminar e Respostas do Réu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CPC.09</t>
        </is>
      </c>
      <c r="B17" s="17" t="inlineStr">
        <is>
          <t>9. Saneamento, Julgamento Conforme o Estado do Processo e Provas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CPC.10</t>
        </is>
      </c>
      <c r="B18" s="17" t="inlineStr">
        <is>
          <t>10. Sentença, Precedentes Judiciais e Coisa Julgada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  <row r="19">
      <c r="A19" s="16" t="inlineStr">
        <is>
          <t>CPC.11</t>
        </is>
      </c>
      <c r="B19" s="17" t="inlineStr">
        <is>
          <t>11. Processos nos Tribunais, Teoria Geral dos Recursos e Recursos em Espécie</t>
        </is>
      </c>
      <c r="C19" s="18" t="inlineStr">
        <is>
          <t>Não Iniciado</t>
        </is>
      </c>
      <c r="D19" s="19" t="inlineStr"/>
      <c r="E19" s="19" t="inlineStr">
        <is>
          <t>Pendente</t>
        </is>
      </c>
      <c r="F19" s="19" t="n">
        <v>0</v>
      </c>
      <c r="G19" s="19" t="n">
        <v>0</v>
      </c>
      <c r="H19" s="20">
        <f>IFERROR(G19/F19, 0)</f>
        <v/>
      </c>
      <c r="I19" s="21" t="inlineStr"/>
    </row>
    <row r="20">
      <c r="A20" s="16" t="inlineStr">
        <is>
          <t>CPC.12</t>
        </is>
      </c>
      <c r="B20" s="17" t="inlineStr">
        <is>
          <t>12. Ação Rescisória, Reclamação e Microssistema de Casos Repetitivos (IRDR e IAC)</t>
        </is>
      </c>
      <c r="C20" s="18" t="inlineStr">
        <is>
          <t>Não Iniciado</t>
        </is>
      </c>
      <c r="D20" s="19" t="inlineStr"/>
      <c r="E20" s="19" t="inlineStr">
        <is>
          <t>Pendente</t>
        </is>
      </c>
      <c r="F20" s="19" t="n">
        <v>0</v>
      </c>
      <c r="G20" s="19" t="n">
        <v>0</v>
      </c>
      <c r="H20" s="20">
        <f>IFERROR(G20/F20, 0)</f>
        <v/>
      </c>
      <c r="I20" s="21" t="inlineStr"/>
    </row>
    <row r="21">
      <c r="A21" s="16" t="inlineStr">
        <is>
          <t>CPC.13</t>
        </is>
      </c>
      <c r="B21" s="17" t="inlineStr">
        <is>
          <t>13. Execução: Títulos Executivos, Responsabilidade Patrimonial e Defesas do Executado</t>
        </is>
      </c>
      <c r="C21" s="18" t="inlineStr">
        <is>
          <t>Não Iniciado</t>
        </is>
      </c>
      <c r="D21" s="19" t="inlineStr"/>
      <c r="E21" s="19" t="inlineStr">
        <is>
          <t>Pendente</t>
        </is>
      </c>
      <c r="F21" s="19" t="n">
        <v>0</v>
      </c>
      <c r="G21" s="19" t="n">
        <v>0</v>
      </c>
      <c r="H21" s="20">
        <f>IFERROR(G21/F21, 0)</f>
        <v/>
      </c>
      <c r="I21" s="21" t="inlineStr"/>
    </row>
    <row r="22">
      <c r="A22" s="16" t="inlineStr">
        <is>
          <t>CPC.14</t>
        </is>
      </c>
      <c r="B22" s="17" t="inlineStr">
        <is>
          <t>14. Procedimentos Especiais do CPC e Juizados Especiais (Lei 9.099/95 e conexas)</t>
        </is>
      </c>
      <c r="C22" s="18" t="inlineStr">
        <is>
          <t>Não Iniciado</t>
        </is>
      </c>
      <c r="D22" s="19" t="inlineStr"/>
      <c r="E22" s="19" t="inlineStr">
        <is>
          <t>Pendente</t>
        </is>
      </c>
      <c r="F22" s="19" t="n">
        <v>0</v>
      </c>
      <c r="G22" s="19" t="n">
        <v>0</v>
      </c>
      <c r="H22" s="20">
        <f>IFERROR(G22/F22, 0)</f>
        <v/>
      </c>
      <c r="I22" s="21" t="inlineStr"/>
    </row>
    <row r="23">
      <c r="A23" s="16" t="inlineStr">
        <is>
          <t>CPC.15</t>
        </is>
      </c>
      <c r="B23" s="17" t="inlineStr">
        <is>
          <t>15. Processo Coletivo e Ações Constitucionais Civis</t>
        </is>
      </c>
      <c r="C23" s="18" t="inlineStr">
        <is>
          <t>Não Iniciado</t>
        </is>
      </c>
      <c r="D23" s="19" t="inlineStr"/>
      <c r="E23" s="19" t="inlineStr">
        <is>
          <t>Pendente</t>
        </is>
      </c>
      <c r="F23" s="19" t="n">
        <v>0</v>
      </c>
      <c r="G23" s="19" t="n">
        <v>0</v>
      </c>
      <c r="H23" s="20">
        <f>IFERROR(G23/F23, 0)</f>
        <v/>
      </c>
      <c r="I23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DIREITO PENAL</t>
        </is>
      </c>
    </row>
    <row r="2">
      <c r="A2" s="2" t="inlineStr">
        <is>
          <t>Classificação: Grupo A (6 questões) • Código: PEN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COUNTA(B9:B22)</f>
        <v/>
      </c>
      <c r="C5" s="10" t="inlineStr">
        <is>
          <t>Concluídos:</t>
        </is>
      </c>
      <c r="D5" s="11">
        <f>COUNTIF(C9:C22, "Estudado") + COUNTIF(C9:C22, "Revisado (7d)") + COUNTIF(C9:C22,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IFERROR(SUM(G9:G22)/SUM(F9:F22),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PEN.01</t>
        </is>
      </c>
      <c r="B9" s="17" t="inlineStr">
        <is>
          <t>1. Princípios Penais Constitucionais e Aplicação da Lei Penal (Tempo e Espaço)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PEN.02</t>
        </is>
      </c>
      <c r="B10" s="17" t="inlineStr">
        <is>
          <t>2. Teoria Geral do Delito: Fato Típico, Conduta, Causalidade e Imputação Objetiva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PEN.03</t>
        </is>
      </c>
      <c r="B11" s="17" t="inlineStr">
        <is>
          <t>3. Tipicidade (Dolo e Culpa), Ilicitude e Culpabilidade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PEN.04</t>
        </is>
      </c>
      <c r="B12" s="17" t="inlineStr">
        <is>
          <t>4. Consumação, Tentativa, Desistência Voluntária e Arrependimento Eficaz/Posterior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PEN.05</t>
        </is>
      </c>
      <c r="B13" s="17" t="inlineStr">
        <is>
          <t>5. Crime Impossível e Teoria do Erro (Erro de Tipo e Erro de Proibição)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PEN.06</t>
        </is>
      </c>
      <c r="B14" s="17" t="inlineStr">
        <is>
          <t>6. Concurso de Pessoas (Autoria e Coautoria)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PEN.07</t>
        </is>
      </c>
      <c r="B15" s="17" t="inlineStr">
        <is>
          <t>7. Penas: Espécies, Dosimetria e Critérios de Aplicação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PEN.08</t>
        </is>
      </c>
      <c r="B16" s="17" t="inlineStr">
        <is>
          <t>8. Concurso de Crimes (Material, Formal e Continuado)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PEN.09</t>
        </is>
      </c>
      <c r="B17" s="17" t="inlineStr">
        <is>
          <t>9. Suspensão Condicional da Pena (Sursis), Efeitos da Condenação e Medidas de Segurança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PEN.10</t>
        </is>
      </c>
      <c r="B18" s="17" t="inlineStr">
        <is>
          <t>10. Extinção da Punibilidade e Prescrição Penal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  <row r="19">
      <c r="A19" s="16" t="inlineStr">
        <is>
          <t>PEN.11</t>
        </is>
      </c>
      <c r="B19" s="17" t="inlineStr">
        <is>
          <t>11. Crimes contra a Pessoa e contra o Patrimônio</t>
        </is>
      </c>
      <c r="C19" s="18" t="inlineStr">
        <is>
          <t>Não Iniciado</t>
        </is>
      </c>
      <c r="D19" s="19" t="inlineStr"/>
      <c r="E19" s="19" t="inlineStr">
        <is>
          <t>Pendente</t>
        </is>
      </c>
      <c r="F19" s="19" t="n">
        <v>0</v>
      </c>
      <c r="G19" s="19" t="n">
        <v>0</v>
      </c>
      <c r="H19" s="20">
        <f>IFERROR(G19/F19, 0)</f>
        <v/>
      </c>
      <c r="I19" s="21" t="inlineStr"/>
    </row>
    <row r="20">
      <c r="A20" s="16" t="inlineStr">
        <is>
          <t>PEN.12</t>
        </is>
      </c>
      <c r="B20" s="17" t="inlineStr">
        <is>
          <t>12. Crimes contra a Dignidade Sexual e contra a Fé Pública</t>
        </is>
      </c>
      <c r="C20" s="18" t="inlineStr">
        <is>
          <t>Não Iniciado</t>
        </is>
      </c>
      <c r="D20" s="19" t="inlineStr"/>
      <c r="E20" s="19" t="inlineStr">
        <is>
          <t>Pendente</t>
        </is>
      </c>
      <c r="F20" s="19" t="n">
        <v>0</v>
      </c>
      <c r="G20" s="19" t="n">
        <v>0</v>
      </c>
      <c r="H20" s="20">
        <f>IFERROR(G20/F20, 0)</f>
        <v/>
      </c>
      <c r="I20" s="21" t="inlineStr"/>
    </row>
    <row r="21">
      <c r="A21" s="16" t="inlineStr">
        <is>
          <t>PEN.13</t>
        </is>
      </c>
      <c r="B21" s="17" t="inlineStr">
        <is>
          <t>13. Crimes contra a Administração Pública e Legislação Penal Extravagante</t>
        </is>
      </c>
      <c r="C21" s="18" t="inlineStr">
        <is>
          <t>Não Iniciado</t>
        </is>
      </c>
      <c r="D21" s="19" t="inlineStr"/>
      <c r="E21" s="19" t="inlineStr">
        <is>
          <t>Pendente</t>
        </is>
      </c>
      <c r="F21" s="19" t="n">
        <v>0</v>
      </c>
      <c r="G21" s="19" t="n">
        <v>0</v>
      </c>
      <c r="H21" s="20">
        <f>IFERROR(G21/F21, 0)</f>
        <v/>
      </c>
      <c r="I21" s="21" t="inlineStr"/>
    </row>
    <row r="22">
      <c r="A22" s="16" t="inlineStr">
        <is>
          <t>PEN.14</t>
        </is>
      </c>
      <c r="B22" s="17" t="inlineStr">
        <is>
          <t>14. Lei de Execução Penal (Lei 7.210/1984)</t>
        </is>
      </c>
      <c r="C22" s="18" t="inlineStr">
        <is>
          <t>Não Iniciado</t>
        </is>
      </c>
      <c r="D22" s="19" t="inlineStr"/>
      <c r="E22" s="19" t="inlineStr">
        <is>
          <t>Pendente</t>
        </is>
      </c>
      <c r="F22" s="19" t="n">
        <v>0</v>
      </c>
      <c r="G22" s="19" t="n">
        <v>0</v>
      </c>
      <c r="H22" s="20">
        <f>IFERROR(G22/F22, 0)</f>
        <v/>
      </c>
      <c r="I22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PROCESSO PENAL</t>
        </is>
      </c>
    </row>
    <row r="2">
      <c r="A2" s="2" t="inlineStr">
        <is>
          <t>Classificação: Grupo A (6 questões) • Código: CPP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COUNTA(B9:B20)</f>
        <v/>
      </c>
      <c r="C5" s="10" t="inlineStr">
        <is>
          <t>Concluídos:</t>
        </is>
      </c>
      <c r="D5" s="11">
        <f>COUNTIF(C9:C20, "Estudado") + COUNTIF(C9:C20, "Revisado (7d)") + COUNTIF(C9:C20,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IFERROR(SUM(G9:G20)/SUM(F9:F20),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CPP.01</t>
        </is>
      </c>
      <c r="B9" s="17" t="inlineStr">
        <is>
          <t>1. Princípios Processuais Penais e Sistemas Processuais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CPP.02</t>
        </is>
      </c>
      <c r="B10" s="17" t="inlineStr">
        <is>
          <t>2. Inquérito Policial e Procedimentos Investigatórios Criminal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CPP.03</t>
        </is>
      </c>
      <c r="B11" s="17" t="inlineStr">
        <is>
          <t>3. Ação Penal (Pública e Privada) e Acordo de Não Persecução Penal (ANPP)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CPP.04</t>
        </is>
      </c>
      <c r="B12" s="17" t="inlineStr">
        <is>
          <t>4. Ação Civil Ex Delicto, Jurisdição e Competência Processual Penal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CPP.05</t>
        </is>
      </c>
      <c r="B13" s="17" t="inlineStr">
        <is>
          <t>5. Sujeitos Processuais e Atos de Comunicação (Citações e Intimações)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CPP.06</t>
        </is>
      </c>
      <c r="B14" s="17" t="inlineStr">
        <is>
          <t>6. Prisão Cautelar (Em Flagrante, Preventiva e Temporária) e Liberdade Provisória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CPP.07</t>
        </is>
      </c>
      <c r="B15" s="17" t="inlineStr">
        <is>
          <t>7. Provas no Processo Penal, Exame de Corpo de Delito e Cadeia de Custódia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CPP.08</t>
        </is>
      </c>
      <c r="B16" s="17" t="inlineStr">
        <is>
          <t>8. Procedimentos do CPP (Comum Ordinário, Sumário, Sumaríssimo e Tribunal do Júri)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CPP.09</t>
        </is>
      </c>
      <c r="B17" s="17" t="inlineStr">
        <is>
          <t>9. Sentença Penal, Nulidades Processuais Penais e Preclusão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CPP.10</t>
        </is>
      </c>
      <c r="B18" s="17" t="inlineStr">
        <is>
          <t>10. Recursos em Espécie (RESE, Apelação, Embargos, Carta Testemunhável)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  <row r="19">
      <c r="A19" s="16" t="inlineStr">
        <is>
          <t>CPP.11</t>
        </is>
      </c>
      <c r="B19" s="17" t="inlineStr">
        <is>
          <t>11. Ações Autônomas de Impugnação: Habeas Corpus e Revisão Criminal</t>
        </is>
      </c>
      <c r="C19" s="18" t="inlineStr">
        <is>
          <t>Não Iniciado</t>
        </is>
      </c>
      <c r="D19" s="19" t="inlineStr"/>
      <c r="E19" s="19" t="inlineStr">
        <is>
          <t>Pendente</t>
        </is>
      </c>
      <c r="F19" s="19" t="n">
        <v>0</v>
      </c>
      <c r="G19" s="19" t="n">
        <v>0</v>
      </c>
      <c r="H19" s="20">
        <f>IFERROR(G19/F19, 0)</f>
        <v/>
      </c>
      <c r="I19" s="21" t="inlineStr"/>
    </row>
    <row r="20">
      <c r="A20" s="16" t="inlineStr">
        <is>
          <t>CPP.12</t>
        </is>
      </c>
      <c r="B20" s="17" t="inlineStr">
        <is>
          <t>12. Execução Penal e Procedimentos na Legislação Extravagante</t>
        </is>
      </c>
      <c r="C20" s="18" t="inlineStr">
        <is>
          <t>Não Iniciado</t>
        </is>
      </c>
      <c r="D20" s="19" t="inlineStr"/>
      <c r="E20" s="19" t="inlineStr">
        <is>
          <t>Pendente</t>
        </is>
      </c>
      <c r="F20" s="19" t="n">
        <v>0</v>
      </c>
      <c r="G20" s="19" t="n">
        <v>0</v>
      </c>
      <c r="H20" s="20">
        <f>IFERROR(G20/F20, 0)</f>
        <v/>
      </c>
      <c r="I20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DIREITO DO TRABALHO</t>
        </is>
      </c>
    </row>
    <row r="2">
      <c r="A2" s="2" t="inlineStr">
        <is>
          <t>Classificação: Grupo A (5 questões) • Código: TRB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COUNTA(B9:B19)</f>
        <v/>
      </c>
      <c r="C5" s="10" t="inlineStr">
        <is>
          <t>Concluídos:</t>
        </is>
      </c>
      <c r="D5" s="11">
        <f>COUNTIF(C9:C19, "Estudado") + COUNTIF(C9:C19, "Revisado (7d)") + COUNTIF(C9:C19,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IFERROR(SUM(G9:G19)/SUM(F9:F19),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TRB.01</t>
        </is>
      </c>
      <c r="B9" s="17" t="inlineStr">
        <is>
          <t>1. Princípios e Fontes do Direito do Trabalho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TRB.02</t>
        </is>
      </c>
      <c r="B10" s="17" t="inlineStr">
        <is>
          <t>2. Relação de Trabalho x Relação de Emprego e Caracterização do Empregado/Empregador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TRB.03</t>
        </is>
      </c>
      <c r="B11" s="17" t="inlineStr">
        <is>
          <t>3. Terceirização, Grupo Econômico e Sucessão de Empregadores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TRB.04</t>
        </is>
      </c>
      <c r="B12" s="17" t="inlineStr">
        <is>
          <t>4. Contrato Individual de Trabalho: Espécies, Alteração, Suspensão e Interrupção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TRB.05</t>
        </is>
      </c>
      <c r="B13" s="17" t="inlineStr">
        <is>
          <t>5. Duração do Trabalho: Jornada, Horas Extras, Banco de Horas e Teletrabalho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TRB.06</t>
        </is>
      </c>
      <c r="B14" s="17" t="inlineStr">
        <is>
          <t>6. Repouso Semanal Remunerado, Intervalos e Férias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TRB.07</t>
        </is>
      </c>
      <c r="B15" s="17" t="inlineStr">
        <is>
          <t>7. Remuneração e Salário: Adicionais, Equiparação Salarial e Descontos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TRB.08</t>
        </is>
      </c>
      <c r="B16" s="17" t="inlineStr">
        <is>
          <t>8. Rescisão do Contrato de Trabalho: Modalidades, Aviso Prévio e Verbas Rescisórias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TRB.09</t>
        </is>
      </c>
      <c r="B17" s="17" t="inlineStr">
        <is>
          <t>9. Estabilidades e Garantias Provisórias no Emprego (Gestante, CIPA, Acidente, Sindical)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TRB.10</t>
        </is>
      </c>
      <c r="B18" s="17" t="inlineStr">
        <is>
          <t>10. FGTS e Seguranças/Higiene do Trabalho (Insalubridade e Periculosidade)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  <row r="19">
      <c r="A19" s="16" t="inlineStr">
        <is>
          <t>TRB.11</t>
        </is>
      </c>
      <c r="B19" s="17" t="inlineStr">
        <is>
          <t>11. Direito Coletivo do Trabalho: Sindicatos, Negociação Coletiva, CCT, ACT e Greve</t>
        </is>
      </c>
      <c r="C19" s="18" t="inlineStr">
        <is>
          <t>Não Iniciado</t>
        </is>
      </c>
      <c r="D19" s="19" t="inlineStr"/>
      <c r="E19" s="19" t="inlineStr">
        <is>
          <t>Pendente</t>
        </is>
      </c>
      <c r="F19" s="19" t="n">
        <v>0</v>
      </c>
      <c r="G19" s="19" t="n">
        <v>0</v>
      </c>
      <c r="H19" s="20">
        <f>IFERROR(G19/F19, 0)</f>
        <v/>
      </c>
      <c r="I19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PROCESSO DO TRABALHO</t>
        </is>
      </c>
    </row>
    <row r="2">
      <c r="A2" s="2" t="inlineStr">
        <is>
          <t>Classificação: Grupo A (5 questões) • Código: PTRB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COUNTA(B9:B18)</f>
        <v/>
      </c>
      <c r="C5" s="10" t="inlineStr">
        <is>
          <t>Concluídos:</t>
        </is>
      </c>
      <c r="D5" s="11">
        <f>COUNTIF(C9:C18, "Estudado") + COUNTIF(C9:C18, "Revisado (7d)") + COUNTIF(C9:C18,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IFERROR(SUM(G9:G18)/SUM(F9:F18),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PTRB.01</t>
        </is>
      </c>
      <c r="B9" s="17" t="inlineStr">
        <is>
          <t>1. Organização e Competência da Justiça do Trabalho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PTRB.02</t>
        </is>
      </c>
      <c r="B10" s="17" t="inlineStr">
        <is>
          <t>2. Atos, Prazos, Custas e Nulidades no Processo do Trabalho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PTRB.03</t>
        </is>
      </c>
      <c r="B11" s="17" t="inlineStr">
        <is>
          <t>3. Partes, Procuradores, Jus Postulandi e Honorários Advocatícios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PTRB.04</t>
        </is>
      </c>
      <c r="B12" s="17" t="inlineStr">
        <is>
          <t>4. Dissídio Individual: Procedimento Comum, Sumário e Sumaríssimo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PTRB.05</t>
        </is>
      </c>
      <c r="B13" s="17" t="inlineStr">
        <is>
          <t>5. Petição Inicial, Audiência Trabalhista, Arquivamento e Revelia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PTRB.06</t>
        </is>
      </c>
      <c r="B14" s="17" t="inlineStr">
        <is>
          <t>6. Respostas do Réu (Contestação, Exceção e Reconvenção) e Conciliação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PTRB.07</t>
        </is>
      </c>
      <c r="B15" s="17" t="inlineStr">
        <is>
          <t>7. Provas no Processo do Trabalho e Ônus da Prova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PTRB.08</t>
        </is>
      </c>
      <c r="B16" s="17" t="inlineStr">
        <is>
          <t>8. Sentença Trabalhista e Sistema Recursal (RO, AP, AI, ED, RR e Agravo)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PTRB.09</t>
        </is>
      </c>
      <c r="B17" s="17" t="inlineStr">
        <is>
          <t>9. Execução Trabalhista, Liquidação, Penhora e Embargos à Execução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PTRB.10</t>
        </is>
      </c>
      <c r="B18" s="17" t="inlineStr">
        <is>
          <t>10. Procedimentos Especiais, Ação Rescisória Trabalhista e Dissídio Coletivo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DIREITO ADMINISTRATIVO</t>
        </is>
      </c>
    </row>
    <row r="2">
      <c r="A2" s="2" t="inlineStr">
        <is>
          <t>Classificação: Grupo A (6 questões) • Código: ADM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COUNTA(B9:B19)</f>
        <v/>
      </c>
      <c r="C5" s="10" t="inlineStr">
        <is>
          <t>Concluídos:</t>
        </is>
      </c>
      <c r="D5" s="11">
        <f>COUNTIF(C9:C19, "Estudado") + COUNTIF(C9:C19, "Revisado (7d)") + COUNTIF(C9:C19,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IFERROR(SUM(G9:G19)/SUM(F9:F19),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ADM.01</t>
        </is>
      </c>
      <c r="B9" s="17" t="inlineStr">
        <is>
          <t>1. Princípios e Interpretação do Direito Administrativo e LINDB (Lei 13.655/2018)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ADM.02</t>
        </is>
      </c>
      <c r="B10" s="17" t="inlineStr">
        <is>
          <t>2. Organização Administrativa: Administração Direta e Indireta, Terceiro Setor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ADM.03</t>
        </is>
      </c>
      <c r="B11" s="17" t="inlineStr">
        <is>
          <t>3. Poderes Administrativos: Vinculado, Discricionário, Hierárquico, Disciplinar e de Polícia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ADM.04</t>
        </is>
      </c>
      <c r="B12" s="17" t="inlineStr">
        <is>
          <t>4. Atos Administrativos: Conceito, Atributos, Elementos, Espécies e Extinção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ADM.05</t>
        </is>
      </c>
      <c r="B13" s="17" t="inlineStr">
        <is>
          <t>5. Licitações e Contratos Administrativos (Lei 14.133/2021 e Lei 8.666/1993)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ADM.06</t>
        </is>
      </c>
      <c r="B14" s="17" t="inlineStr">
        <is>
          <t>6. Serviços Públicos, Concessões, Permissões e Parcerias Público-Privadas (PPP)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ADM.07</t>
        </is>
      </c>
      <c r="B15" s="17" t="inlineStr">
        <is>
          <t>7. Agentes Públicos: Regime Jurídico, Cargo/Emprego, Direitos e Responsabilidades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ADM.08</t>
        </is>
      </c>
      <c r="B16" s="17" t="inlineStr">
        <is>
          <t>8. Intervenção do Estado na Propriedade (Desapropriação, Tombamento) e Bens Públicos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ADM.09</t>
        </is>
      </c>
      <c r="B17" s="17" t="inlineStr">
        <is>
          <t>9. Improbidade Administrativa (Lei 8.429/1992 com alterações da Lei 14.230/2021)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ADM.10</t>
        </is>
      </c>
      <c r="B18" s="17" t="inlineStr">
        <is>
          <t>10. Responsabilidade Civil do Estado (Art. 37, §6º da CF/88)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  <row r="19">
      <c r="A19" s="16" t="inlineStr">
        <is>
          <t>ADM.11</t>
        </is>
      </c>
      <c r="B19" s="17" t="inlineStr">
        <is>
          <t>11. Processo Administrativo (Lei 9.784/1999) e Controle da Administração Pública</t>
        </is>
      </c>
      <c r="C19" s="18" t="inlineStr">
        <is>
          <t>Não Iniciado</t>
        </is>
      </c>
      <c r="D19" s="19" t="inlineStr"/>
      <c r="E19" s="19" t="inlineStr">
        <is>
          <t>Pendente</t>
        </is>
      </c>
      <c r="F19" s="19" t="n">
        <v>0</v>
      </c>
      <c r="G19" s="19" t="n">
        <v>0</v>
      </c>
      <c r="H19" s="20">
        <f>IFERROR(G19/F19, 0)</f>
        <v/>
      </c>
      <c r="I19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DIREITO TRIBUTÁRIO</t>
        </is>
      </c>
    </row>
    <row r="2">
      <c r="A2" s="2" t="inlineStr">
        <is>
          <t>Classificação: Grupo B (5 questões) • Código: TRIB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COUNTA(B9:B18)</f>
        <v/>
      </c>
      <c r="C5" s="10" t="inlineStr">
        <is>
          <t>Concluídos:</t>
        </is>
      </c>
      <c r="D5" s="11">
        <f>COUNTIF(C9:C18, "Estudado") + COUNTIF(C9:C18, "Revisado (7d)") + COUNTIF(C9:C18,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IFERROR(SUM(G9:G18)/SUM(F9:F18),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TRIB.01</t>
        </is>
      </c>
      <c r="B9" s="17" t="inlineStr">
        <is>
          <t>1. Sistema Tributário Nacional: Conceito de Tributo e Espécies Tributárias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TRIB.02</t>
        </is>
      </c>
      <c r="B10" s="17" t="inlineStr">
        <is>
          <t>2. Princípios Tributários (Legalidade, Anterioridade, Isonomia, Capacidade Contributiva)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TRIB.03</t>
        </is>
      </c>
      <c r="B11" s="17" t="inlineStr">
        <is>
          <t>3. Limitações ao Poder de Tributar e Imunidades Tributárias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TRIB.04</t>
        </is>
      </c>
      <c r="B12" s="17" t="inlineStr">
        <is>
          <t>4. Competência Tributária e Repartição das Receitas Tributárias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TRIB.05</t>
        </is>
      </c>
      <c r="B13" s="17" t="inlineStr">
        <is>
          <t>5. Obrigação Tributária: Fato Gerador, Sujeito Ativo e Passivo, Solidariedade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TRIB.06</t>
        </is>
      </c>
      <c r="B14" s="17" t="inlineStr">
        <is>
          <t>6. Responsabilidade Tributária e Substituição Tributária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TRIB.07</t>
        </is>
      </c>
      <c r="B15" s="17" t="inlineStr">
        <is>
          <t>7. Crédito Tributário: Lançamento, Suspensão, Extinção e Exclusão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TRIB.08</t>
        </is>
      </c>
      <c r="B16" s="17" t="inlineStr">
        <is>
          <t>8. Garantias, Privilégios do Crédito Tributário e Dívida Ativa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TRIB.09</t>
        </is>
      </c>
      <c r="B17" s="17" t="inlineStr">
        <is>
          <t>9. Processo Administrativo Tributário e Execução Fiscal (Lei 6.830/1980)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  <row r="18">
      <c r="A18" s="16" t="inlineStr">
        <is>
          <t>TRIB.10</t>
        </is>
      </c>
      <c r="B18" s="17" t="inlineStr">
        <is>
          <t>10. Ações Judiciais Tributárias (Declaratória, Anulatória, Repetição de Indébito, MS)</t>
        </is>
      </c>
      <c r="C18" s="18" t="inlineStr">
        <is>
          <t>Não Iniciado</t>
        </is>
      </c>
      <c r="D18" s="19" t="inlineStr"/>
      <c r="E18" s="19" t="inlineStr">
        <is>
          <t>Pendente</t>
        </is>
      </c>
      <c r="F18" s="19" t="n">
        <v>0</v>
      </c>
      <c r="G18" s="19" t="n">
        <v>0</v>
      </c>
      <c r="H18" s="20">
        <f>IFERROR(G18/F18, 0)</f>
        <v/>
      </c>
      <c r="I18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DIREITO EMPRESARIAL</t>
        </is>
      </c>
    </row>
    <row r="2">
      <c r="A2" s="2" t="inlineStr">
        <is>
          <t>Classificação: Grupo B (4 questões) • Código: EMP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COUNTA(B9:B16)</f>
        <v/>
      </c>
      <c r="C5" s="10" t="inlineStr">
        <is>
          <t>Concluídos:</t>
        </is>
      </c>
      <c r="D5" s="11">
        <f>COUNTIF(C9:C16, "Estudado") + COUNTIF(C9:C16, "Revisado (7d)") + COUNTIF(C9:C16,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IFERROR(SUM(G9:G16)/SUM(F9:F16),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EMP.01</t>
        </is>
      </c>
      <c r="B9" s="17" t="inlineStr">
        <is>
          <t>1. Teoria Geral do Direito de Empresa, Empresário Individual e EIRELI/SLU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EMP.02</t>
        </is>
      </c>
      <c r="B10" s="17" t="inlineStr">
        <is>
          <t>2. Sociedades Personificadas e Não Personificadas (Sociedade Limitada e S/A)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EMP.03</t>
        </is>
      </c>
      <c r="B11" s="17" t="inlineStr">
        <is>
          <t>3. Desconsideração da Personalidade Jurídica e Operações Societárias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EMP.04</t>
        </is>
      </c>
      <c r="B12" s="17" t="inlineStr">
        <is>
          <t>4. Estabelecimento Empresarial e Nome Empresarial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EMP.05</t>
        </is>
      </c>
      <c r="B13" s="17" t="inlineStr">
        <is>
          <t>5. Títulos de Crédito (Letra de Câmbio, Nota Promissória, Cheque e Duplicata)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EMP.06</t>
        </is>
      </c>
      <c r="B14" s="17" t="inlineStr">
        <is>
          <t>6. Contratos Empresariais e Propriedade Industrial (Marcas e Patentes)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EMP.07</t>
        </is>
      </c>
      <c r="B15" s="17" t="inlineStr">
        <is>
          <t>7. Falência e Recuperação Judicial/Extrajudicial de Empresas (Lei 11.101/2005)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EMP.08</t>
        </is>
      </c>
      <c r="B16" s="17" t="inlineStr">
        <is>
          <t>8. Defesa da Concorrência e Concorrência Desleal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5" customWidth="1" min="4" max="4"/>
    <col width="16" customWidth="1" min="5" max="5"/>
    <col width="16" customWidth="1" min="6" max="6"/>
    <col width="12" customWidth="1" min="7" max="7"/>
    <col width="14" customWidth="1" min="8" max="8"/>
    <col width="35" customWidth="1" min="9" max="9"/>
  </cols>
  <sheetData>
    <row r="1">
      <c r="A1" s="1" t="inlineStr">
        <is>
          <t>EDITAL VERTICALIZADO — OUTRAS DISCIPLINAS OAB</t>
        </is>
      </c>
    </row>
    <row r="2">
      <c r="A2" s="2" t="inlineStr">
        <is>
          <t>Classificação: Grupo B (17 questões distribuídas) • Código: OUT</t>
        </is>
      </c>
    </row>
    <row r="4">
      <c r="A4" s="3" t="inlineStr">
        <is>
          <t>RESUMO DO DESEMPENHO NA MATÉRIA</t>
        </is>
      </c>
    </row>
    <row r="5">
      <c r="A5" s="10" t="inlineStr">
        <is>
          <t>Total Tópicos:</t>
        </is>
      </c>
      <c r="B5" s="11">
        <f>COUNTA(B9:B17)</f>
        <v/>
      </c>
      <c r="C5" s="10" t="inlineStr">
        <is>
          <t>Concluídos:</t>
        </is>
      </c>
      <c r="D5" s="11">
        <f>COUNTIF(C9:C17, "Estudado") + COUNTIF(C9:C17, "Revisado (7d)") + COUNTIF(C9:C17, "Concluído")</f>
        <v/>
      </c>
      <c r="E5" s="10" t="inlineStr">
        <is>
          <t>% Progresso:</t>
        </is>
      </c>
      <c r="F5" s="14">
        <f>IFERROR(D5/B5, 0)</f>
        <v/>
      </c>
      <c r="G5" s="10" t="inlineStr">
        <is>
          <t>Taxa Acertos:</t>
        </is>
      </c>
      <c r="H5" s="14">
        <f>IFERROR(SUM(G9:G17)/SUM(F9:F17), 0)</f>
        <v/>
      </c>
    </row>
    <row r="8">
      <c r="A8" s="15" t="inlineStr">
        <is>
          <t>Cód.</t>
        </is>
      </c>
      <c r="B8" s="15" t="inlineStr">
        <is>
          <t>Assunto / Conteúdo Programático (Edital 48º EOU)</t>
        </is>
      </c>
      <c r="C8" s="15" t="inlineStr">
        <is>
          <t>Status de Estudo</t>
        </is>
      </c>
      <c r="D8" s="15" t="inlineStr">
        <is>
          <t>Data Estudo</t>
        </is>
      </c>
      <c r="E8" s="15" t="inlineStr">
        <is>
          <t>Revisão 7 Dias</t>
        </is>
      </c>
      <c r="F8" s="15" t="inlineStr">
        <is>
          <t>Questões Feitas</t>
        </is>
      </c>
      <c r="G8" s="15" t="inlineStr">
        <is>
          <t>Acertos</t>
        </is>
      </c>
      <c r="H8" s="15" t="inlineStr">
        <is>
          <t>% Acertos</t>
        </is>
      </c>
      <c r="I8" s="15" t="inlineStr">
        <is>
          <t>Anotações / Pontos Chave</t>
        </is>
      </c>
    </row>
    <row r="9">
      <c r="A9" s="16" t="inlineStr">
        <is>
          <t>OUT.01</t>
        </is>
      </c>
      <c r="B9" s="17" t="inlineStr">
        <is>
          <t>Direitos Humanos: Teoria Geral, Sistema Interamericano e Proteção Internacional</t>
        </is>
      </c>
      <c r="C9" s="18" t="inlineStr">
        <is>
          <t>Não Iniciado</t>
        </is>
      </c>
      <c r="D9" s="19" t="inlineStr"/>
      <c r="E9" s="19" t="inlineStr">
        <is>
          <t>Pendente</t>
        </is>
      </c>
      <c r="F9" s="19" t="n">
        <v>0</v>
      </c>
      <c r="G9" s="19" t="n">
        <v>0</v>
      </c>
      <c r="H9" s="20">
        <f>IFERROR(G9/F9, 0)</f>
        <v/>
      </c>
      <c r="I9" s="21" t="inlineStr"/>
    </row>
    <row r="10">
      <c r="A10" s="16" t="inlineStr">
        <is>
          <t>OUT.02</t>
        </is>
      </c>
      <c r="B10" s="17" t="inlineStr">
        <is>
          <t>Direito Internacional: Direito Internacional Público e Privado (LINDB)</t>
        </is>
      </c>
      <c r="C10" s="18" t="inlineStr">
        <is>
          <t>Não Iniciado</t>
        </is>
      </c>
      <c r="D10" s="19" t="inlineStr"/>
      <c r="E10" s="19" t="inlineStr">
        <is>
          <t>Pendente</t>
        </is>
      </c>
      <c r="F10" s="19" t="n">
        <v>0</v>
      </c>
      <c r="G10" s="19" t="n">
        <v>0</v>
      </c>
      <c r="H10" s="20">
        <f>IFERROR(G10/F10, 0)</f>
        <v/>
      </c>
      <c r="I10" s="21" t="inlineStr"/>
    </row>
    <row r="11">
      <c r="A11" s="16" t="inlineStr">
        <is>
          <t>OUT.03</t>
        </is>
      </c>
      <c r="B11" s="17" t="inlineStr">
        <is>
          <t>Direito do Consumidor: Direitos Básicos, Responsabilidade por Fato/Vício do Produto e Prazos</t>
        </is>
      </c>
      <c r="C11" s="18" t="inlineStr">
        <is>
          <t>Não Iniciado</t>
        </is>
      </c>
      <c r="D11" s="19" t="inlineStr"/>
      <c r="E11" s="19" t="inlineStr">
        <is>
          <t>Pendente</t>
        </is>
      </c>
      <c r="F11" s="19" t="n">
        <v>0</v>
      </c>
      <c r="G11" s="19" t="n">
        <v>0</v>
      </c>
      <c r="H11" s="20">
        <f>IFERROR(G11/F11, 0)</f>
        <v/>
      </c>
      <c r="I11" s="21" t="inlineStr"/>
    </row>
    <row r="12">
      <c r="A12" s="16" t="inlineStr">
        <is>
          <t>OUT.04</t>
        </is>
      </c>
      <c r="B12" s="17" t="inlineStr">
        <is>
          <t>Direito Ambiental: Princípios Ambientais, Licenciamento, Responsabilidade e Crimes Ambientais</t>
        </is>
      </c>
      <c r="C12" s="18" t="inlineStr">
        <is>
          <t>Não Iniciado</t>
        </is>
      </c>
      <c r="D12" s="19" t="inlineStr"/>
      <c r="E12" s="19" t="inlineStr">
        <is>
          <t>Pendente</t>
        </is>
      </c>
      <c r="F12" s="19" t="n">
        <v>0</v>
      </c>
      <c r="G12" s="19" t="n">
        <v>0</v>
      </c>
      <c r="H12" s="20">
        <f>IFERROR(G12/F12, 0)</f>
        <v/>
      </c>
      <c r="I12" s="21" t="inlineStr"/>
    </row>
    <row r="13">
      <c r="A13" s="16" t="inlineStr">
        <is>
          <t>OUT.05</t>
        </is>
      </c>
      <c r="B13" s="17" t="inlineStr">
        <is>
          <t>Filosofia do Direito: Principais Escolas do Pensamento Jurídico e Teoria da Justiça</t>
        </is>
      </c>
      <c r="C13" s="18" t="inlineStr">
        <is>
          <t>Não Iniciado</t>
        </is>
      </c>
      <c r="D13" s="19" t="inlineStr"/>
      <c r="E13" s="19" t="inlineStr">
        <is>
          <t>Pendente</t>
        </is>
      </c>
      <c r="F13" s="19" t="n">
        <v>0</v>
      </c>
      <c r="G13" s="19" t="n">
        <v>0</v>
      </c>
      <c r="H13" s="20">
        <f>IFERROR(G13/F13, 0)</f>
        <v/>
      </c>
      <c r="I13" s="21" t="inlineStr"/>
    </row>
    <row r="14">
      <c r="A14" s="16" t="inlineStr">
        <is>
          <t>OUT.06</t>
        </is>
      </c>
      <c r="B14" s="17" t="inlineStr">
        <is>
          <t>Estatuto da Criança e do Adolescente (ECA - Lei 8.069/1990): Direitos Fundamentais e Ato Infracional</t>
        </is>
      </c>
      <c r="C14" s="18" t="inlineStr">
        <is>
          <t>Não Iniciado</t>
        </is>
      </c>
      <c r="D14" s="19" t="inlineStr"/>
      <c r="E14" s="19" t="inlineStr">
        <is>
          <t>Pendente</t>
        </is>
      </c>
      <c r="F14" s="19" t="n">
        <v>0</v>
      </c>
      <c r="G14" s="19" t="n">
        <v>0</v>
      </c>
      <c r="H14" s="20">
        <f>IFERROR(G14/F14, 0)</f>
        <v/>
      </c>
      <c r="I14" s="21" t="inlineStr"/>
    </row>
    <row r="15">
      <c r="A15" s="16" t="inlineStr">
        <is>
          <t>OUT.07</t>
        </is>
      </c>
      <c r="B15" s="17" t="inlineStr">
        <is>
          <t>Direito Financeiro: Orçamento Público, PPA, LDO, LOA e Lei de Responsabilidade Fiscal</t>
        </is>
      </c>
      <c r="C15" s="18" t="inlineStr">
        <is>
          <t>Não Iniciado</t>
        </is>
      </c>
      <c r="D15" s="19" t="inlineStr"/>
      <c r="E15" s="19" t="inlineStr">
        <is>
          <t>Pendente</t>
        </is>
      </c>
      <c r="F15" s="19" t="n">
        <v>0</v>
      </c>
      <c r="G15" s="19" t="n">
        <v>0</v>
      </c>
      <c r="H15" s="20">
        <f>IFERROR(G15/F15, 0)</f>
        <v/>
      </c>
      <c r="I15" s="21" t="inlineStr"/>
    </row>
    <row r="16">
      <c r="A16" s="16" t="inlineStr">
        <is>
          <t>OUT.08</t>
        </is>
      </c>
      <c r="B16" s="17" t="inlineStr">
        <is>
          <t>Direito Previdenciário: Seguridade Social, Benefícios e Custeio</t>
        </is>
      </c>
      <c r="C16" s="18" t="inlineStr">
        <is>
          <t>Não Iniciado</t>
        </is>
      </c>
      <c r="D16" s="19" t="inlineStr"/>
      <c r="E16" s="19" t="inlineStr">
        <is>
          <t>Pendente</t>
        </is>
      </c>
      <c r="F16" s="19" t="n">
        <v>0</v>
      </c>
      <c r="G16" s="19" t="n">
        <v>0</v>
      </c>
      <c r="H16" s="20">
        <f>IFERROR(G16/F16, 0)</f>
        <v/>
      </c>
      <c r="I16" s="21" t="inlineStr"/>
    </row>
    <row r="17">
      <c r="A17" s="16" t="inlineStr">
        <is>
          <t>OUT.09</t>
        </is>
      </c>
      <c r="B17" s="17" t="inlineStr">
        <is>
          <t>Direito Eleitoral: Direitos Políticos, Partidos, Elegibilidade e Inelegibilidades</t>
        </is>
      </c>
      <c r="C17" s="18" t="inlineStr">
        <is>
          <t>Não Iniciado</t>
        </is>
      </c>
      <c r="D17" s="19" t="inlineStr"/>
      <c r="E17" s="19" t="inlineStr">
        <is>
          <t>Pendente</t>
        </is>
      </c>
      <c r="F17" s="19" t="n">
        <v>0</v>
      </c>
      <c r="G17" s="19" t="n">
        <v>0</v>
      </c>
      <c r="H17" s="20">
        <f>IFERROR(G17/F17, 0)</f>
        <v/>
      </c>
      <c r="I17" s="21" t="inlineStr"/>
    </row>
  </sheetData>
  <mergeCells count="1">
    <mergeCell ref="A4:I4"/>
  </mergeCells>
  <dataValidations count="1">
    <dataValidation sqref="C9 C10 C11 C12 C13 C14 C15 C16 C17 C18 C19 C20 C21 C22 C23" showDropDown="0" showInputMessage="0" showErrorMessage="0" allowBlank="1" type="list">
      <formula1>"Não Iniciado,Em Teoria,Estudado,Revisado (7d),Concluído"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2026-10-18T01:32:57Z</dcterms:created>
  <dcterms:modified xmlns:dcterms="http://purl.org/dc/terms/" xmlns:xsi="http://www.w3.org/2001/XMLSchema-instance" xsi:type="dcterms:W3CDTF">2026-10-18T01:32:57Z</dcterms:modified>
</cp:coreProperties>
</file>